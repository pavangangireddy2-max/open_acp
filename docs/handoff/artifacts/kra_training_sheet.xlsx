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58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45" customHeight="1">
      <c r="A47" s="123" t="n">
        <v>23</v>
      </c>
      <c r="B47" s="123" t="inlineStr">
        <is>
          <t>B</t>
        </is>
      </c>
      <c r="C47" s="124" t="inlineStr">
        <is>
          <t>Executive Ops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Operations &amp; Growth Cost</t>
        </is>
      </c>
      <c r="G47" s="124" t="inlineStr">
        <is>
          <t>Average cost across executive ops, operational efficiency, market analysis and hiring activities. Tracked at team scope, not per product.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Q1 Jul: A ₹300,863.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Executive Ops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Creative Resource Utilisation Rate</t>
        </is>
      </c>
      <c r="G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8" s="124" t="inlineStr">
        <is>
          <t>hygiene — creative bandwidth guardrail (PM-managed);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0" t="n"/>
      <c r="E50" s="130" t="n"/>
      <c r="F50" s="132" t="inlineStr">
        <is>
          <t>Assessment blueprints per cycle</t>
        </is>
      </c>
      <c r="G50" s="131" t="inlineStr">
        <is>
          <t>Skill-assessment blueprints + knowledge points shared before authoring each cycle; changes communicated — feeds Content–Assessment Alignment (§7 ask).</t>
        </is>
      </c>
      <c r="H50" s="131" t="n"/>
      <c r="I50" s="130" t="n"/>
      <c r="J50" s="130" t="n"/>
      <c r="K50" s="130" t="n"/>
      <c r="L50" s="130" t="n"/>
      <c r="M50" s="130" t="n"/>
      <c r="N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0" t="n"/>
      <c r="E51" s="130" t="n"/>
      <c r="F51" s="132" t="inlineStr">
        <is>
          <t>Engagement &amp; LE dashboards</t>
        </is>
      </c>
      <c r="G51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Learning Platform (PMs + Engineering)</t>
        </is>
      </c>
      <c r="D52" s="130" t="n"/>
      <c r="E52" s="130" t="n"/>
      <c r="F52" s="132" t="inlineStr">
        <is>
          <t>Domain-specific capability build</t>
        </is>
      </c>
      <c r="G52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2" s="131" t="n"/>
      <c r="I52" s="130" t="n"/>
      <c r="J52" s="130" t="n"/>
      <c r="K52" s="130" t="n"/>
      <c r="L52" s="130" t="n"/>
      <c r="M52" s="130" t="n"/>
      <c r="N52" s="131" t="n"/>
    </row>
    <row r="53" ht="40" customHeight="1">
      <c r="A53" s="130" t="n">
        <v>4</v>
      </c>
      <c r="B53" s="130" t="inlineStr">
        <is>
          <t>C</t>
        </is>
      </c>
      <c r="C53" s="131" t="inlineStr">
        <is>
          <t>Instructors dept + Program Ops</t>
        </is>
      </c>
      <c r="D53" s="130" t="n"/>
      <c r="E53" s="130" t="n"/>
      <c r="F53" s="132" t="inlineStr">
        <is>
          <t>Classroom signal loop</t>
        </is>
      </c>
      <c r="G53" s="131" t="inlineStr">
        <is>
          <t>Structured instructor feedback + conduction context per module — feeds content iteration and Content Issue routing.</t>
        </is>
      </c>
      <c r="H53" s="131" t="n"/>
      <c r="I53" s="130" t="n"/>
      <c r="J53" s="130" t="n"/>
      <c r="K53" s="130" t="n"/>
      <c r="L53" s="130" t="n"/>
      <c r="M53" s="130" t="n"/>
      <c r="N53" s="131" t="n"/>
    </row>
  </sheetData>
  <mergeCells count="9">
    <mergeCell ref="G51:N51"/>
    <mergeCell ref="G52:N52"/>
    <mergeCell ref="A4:N4"/>
    <mergeCell ref="A24:N24"/>
    <mergeCell ref="A2:N2"/>
    <mergeCell ref="G50:N50"/>
    <mergeCell ref="A49:N49"/>
    <mergeCell ref="G53:N5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6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T15</t>
        </is>
      </c>
      <c r="B5" s="140" t="inlineStr">
        <is>
          <t>A</t>
        </is>
      </c>
      <c r="C5" s="141">
        <f>IF('KPI Tracker FY26-27'!C18="","",'KPI Tracker FY26-27'!C18)</f>
        <v/>
      </c>
      <c r="D5" s="140">
        <f>IF('KPI Tracker FY26-27'!D18="","",'KPI Tracker FY26-27'!D18)</f>
        <v/>
      </c>
      <c r="E5" s="140">
        <f>IF('KPI Tracker FY26-27'!E18="","",'KPI Tracker FY26-27'!E18)</f>
        <v/>
      </c>
      <c r="F5" s="142">
        <f>IF('KPI Tracker FY26-27'!G18="","",'KPI Tracker FY26-27'!G18)</f>
        <v/>
      </c>
      <c r="G5" s="141">
        <f>IF('KPI Tracker FY26-27'!H18="","",'KPI Tracker FY26-27'!H18)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FY26-27'!M18="","",'KPI Tracker FY26-27'!M18)</f>
        <v/>
      </c>
      <c r="J5" s="140">
        <f>IF('KPI Tracker FY26-27'!N18="","",'KPI Tracker FY26-27'!N18)</f>
        <v/>
      </c>
      <c r="K5" s="140">
        <f>IF('KPI Tracker FY26-27'!O18="","",'KPI Tracker FY26-27'!O18)</f>
        <v/>
      </c>
      <c r="L5" s="140">
        <f>IF('KPI Tracker FY26-27'!P18="","",'KPI Tracker FY26-27'!P18)</f>
        <v/>
      </c>
      <c r="M5" s="140">
        <f>IF('KPI Tracker FY26-27'!Q18="","",'KPI Tracker FY26-27'!Q18)</f>
        <v/>
      </c>
      <c r="N5" s="141">
        <f>IF('KPI Tracker FY26-27'!R18="","",'KPI Tracker FY26-27'!R18)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92" customHeight="1">
      <c r="A9" s="123" t="n">
        <v>3</v>
      </c>
      <c r="B9" s="123" t="inlineStr">
        <is>
          <t>B</t>
        </is>
      </c>
      <c r="C9" s="124" t="inlineStr">
        <is>
          <t>Business Ops — Shared Teams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Creative Resource Utilisation — All Units</t>
        </is>
      </c>
      <c r="G9" s="124" t="inlineStr">
        <is>
          <t>Of the Graphic Designer &amp; Video Editor bandwidth allocated across all sub-departments, the % actually used against planned deliverables in the cycle. Central reads the aggregate and the skew — which units are stretched, which under-use; day-to-day management stays with unit PMs. Low = planning gaps · over = scope creep or under-resourcing.</t>
        </is>
      </c>
      <c r="H9" s="124" t="inlineStr">
        <is>
          <t>enabling → dept Creative Resource Utilisation (§5, PMO lane) — the dept KPI lands its team owner here; domain views keep their own slice (FS: Creative Resource Utilisation Rate)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Baseline first: Q1 builds the allocation register per unit; unit PMs supply the reads, the PMO manager collects at the check-in, the Business Ops lead owns the judgment. FS Q1 Jul reference: A 100% — fully utilised, at times stretched.</t>
        </is>
      </c>
    </row>
    <row r="10" ht="84" customHeight="1">
      <c r="A10" s="123" t="n">
        <v>4</v>
      </c>
      <c r="B10" s="123" t="inlineStr">
        <is>
          <t>B</t>
        </is>
      </c>
      <c r="C10" s="124" t="inlineStr">
        <is>
          <t>Business Ops — Shared Teams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Cross-functional Resource Utilisation — All Units</t>
        </is>
      </c>
      <c r="G10" s="124" t="inlineStr">
        <is>
          <t>Of the embedded function bandwidth (Engineering, Product, Pedagogy, DA/DEs, Product Design) allocated into units, the % actually used on committed work in the cycle — across every sub-department and function. Read the same way: low = planning gaps · over = scope creep or under-resourcing.</t>
        </is>
      </c>
      <c r="H10" s="124" t="inlineStr">
        <is>
          <t>enabling → dept Cross-functional Resource Utilisation (§5, PMO lane) — the dept KPI lands its team owner here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Baseline first: same allocation register; unit PMs supply the reads, the PMO manager collects at the check-in, the Business Ops lead owns the judgment.</t>
        </is>
      </c>
    </row>
    <row r="11" ht="71" customHeight="1">
      <c r="A11" s="123" t="n">
        <v>5</v>
      </c>
      <c r="B11" s="123" t="inlineStr">
        <is>
          <t>B</t>
        </is>
      </c>
      <c r="C11" s="124" t="inlineStr">
        <is>
          <t>Agentic Content Platform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Shared Tool Adoption</t>
        </is>
      </c>
      <c r="G11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11" s="124" t="inlineStr">
        <is>
          <t>enabling → tracker Agentic Production Coverage — adoption is how all units reach the 90 bar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Bar: ALL learning domains within a month of shipping — an unadopted shared tool is shelfware. Owned by the Business Ops lead (ACP builder hat).</t>
        </is>
      </c>
    </row>
    <row r="12" ht="58" customHeight="1">
      <c r="A12" s="123" t="n">
        <v>6</v>
      </c>
      <c r="B12" s="123" t="inlineStr">
        <is>
          <t>B</t>
        </is>
      </c>
      <c r="C12" s="124" t="inlineStr">
        <is>
          <t>PMO</t>
        </is>
      </c>
      <c r="D12" s="123" t="inlineStr">
        <is>
          <t>All</t>
        </is>
      </c>
      <c r="E12" s="123" t="inlineStr">
        <is>
          <t>All</t>
        </is>
      </c>
      <c r="F12" s="125" t="inlineStr">
        <is>
          <t>Check-ins Run</t>
        </is>
      </c>
      <c r="G12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2" s="124" t="inlineStr">
        <is>
          <t>hygiene — operating-rhythm guardrail; no org ladder by design</t>
        </is>
      </c>
      <c r="I12" s="123" t="inlineStr">
        <is>
          <t>%</t>
        </is>
      </c>
      <c r="J12" s="123" t="inlineStr">
        <is>
          <t>Monthly</t>
        </is>
      </c>
      <c r="K12" s="123" t="n"/>
      <c r="L12" s="123" t="n"/>
      <c r="M12" s="126">
        <f>IF(AND(ISNUMBER(K12),ISNUMBER(L12)),K12-L12,"")</f>
        <v/>
      </c>
      <c r="N12" s="124" t="inlineStr">
        <is>
          <t>Run by the PMO manager; unit PMs supply the pre-read inputs — orchestration here, the work stays with the units.</t>
        </is>
      </c>
    </row>
    <row r="13" ht="58" customHeight="1">
      <c r="A13" s="123" t="n">
        <v>7</v>
      </c>
      <c r="B13" s="123" t="inlineStr">
        <is>
          <t>B</t>
        </is>
      </c>
      <c r="C13" s="124" t="inlineStr">
        <is>
          <t>PMO</t>
        </is>
      </c>
      <c r="D13" s="123" t="inlineStr">
        <is>
          <t>All</t>
        </is>
      </c>
      <c r="E13" s="123" t="inlineStr">
        <is>
          <t>All</t>
        </is>
      </c>
      <c r="F13" s="125" t="inlineStr">
        <is>
          <t>Actions Closed</t>
        </is>
      </c>
      <c r="G13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3" s="124" t="inlineStr">
        <is>
          <t>hygiene — operating-rhythm guardrail; no org ladder by design</t>
        </is>
      </c>
      <c r="I13" s="123" t="inlineStr">
        <is>
          <t>%</t>
        </is>
      </c>
      <c r="J13" s="123" t="inlineStr">
        <is>
          <t>Monthly</t>
        </is>
      </c>
      <c r="K13" s="123" t="n"/>
      <c r="L13" s="123" t="n"/>
      <c r="M13" s="126">
        <f>IF(AND(ISNUMBER(K13),ISNUMBER(L13)),K13-L13,"")</f>
        <v/>
      </c>
      <c r="N13" s="124" t="inlineStr">
        <is>
          <t>Run by the PMO manager. Deferred companions (spend → outcome map · tracker freshness · finance turnaround) join after the start set runs a cycle or two.</t>
        </is>
      </c>
    </row>
    <row r="14" ht="26" customHeight="1">
      <c r="A14" s="139" t="inlineStr">
        <is>
          <t>C — Asks: what this team needs from counterparties (thin interface contracts — reviewed monthly)</t>
        </is>
      </c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</row>
    <row r="15" ht="40" customHeight="1">
      <c r="A15" s="140" t="n">
        <v>1</v>
      </c>
      <c r="B15" s="140" t="inlineStr">
        <is>
          <t>C</t>
        </is>
      </c>
      <c r="C15" s="141" t="inlineStr">
        <is>
          <t>Product, Engineering, Product Design &amp; Pedagogy function heads</t>
        </is>
      </c>
      <c r="D15" s="140" t="n"/>
      <c r="E15" s="140" t="n"/>
      <c r="F15" s="142" t="inlineStr">
        <is>
          <t>Execution-management KPI tracking</t>
        </is>
      </c>
      <c r="G15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5" s="141" t="n"/>
      <c r="I15" s="140" t="n"/>
      <c r="J15" s="140" t="n"/>
      <c r="K15" s="140" t="n"/>
      <c r="L15" s="140" t="n"/>
      <c r="M15" s="140" t="n"/>
      <c r="N15" s="141" t="n"/>
    </row>
    <row r="16" ht="40" customHeight="1">
      <c r="A16" s="140" t="n">
        <v>2</v>
      </c>
      <c r="B16" s="140" t="inlineStr">
        <is>
          <t>C</t>
        </is>
      </c>
      <c r="C16" s="141" t="inlineStr">
        <is>
          <t>Graphic Design &amp; Video Editing team heads</t>
        </is>
      </c>
      <c r="D16" s="140" t="n"/>
      <c r="E16" s="140" t="n"/>
      <c r="F16" s="142" t="inlineStr">
        <is>
          <t>Creative delivery-management tracking</t>
        </is>
      </c>
      <c r="G16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6" s="141" t="n"/>
      <c r="I16" s="140" t="n"/>
      <c r="J16" s="140" t="n"/>
      <c r="K16" s="140" t="n"/>
      <c r="L16" s="140" t="n"/>
      <c r="M16" s="140" t="n"/>
      <c r="N16" s="141" t="n"/>
    </row>
  </sheetData>
  <mergeCells count="7">
    <mergeCell ref="A6:N6"/>
    <mergeCell ref="A4:N4"/>
    <mergeCell ref="G15:N15"/>
    <mergeCell ref="A2:N2"/>
    <mergeCell ref="G16:N16"/>
    <mergeCell ref="A14:N14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2026-08-21T20:09:40Z</dcterms:modified>
</cp:coreProperties>
</file>