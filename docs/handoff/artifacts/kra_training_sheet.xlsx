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  <sheet xmlns:r="http://schemas.openxmlformats.org/officeDocument/2006/relationships" name="CSI Team View" sheetId="4" state="visible" r:id="rId4"/>
    <sheet xmlns:r="http://schemas.openxmlformats.org/officeDocument/2006/relationships" name="FullStack &amp; CS Core View" sheetId="5" state="visible" r:id="rId5"/>
    <sheet xmlns:r="http://schemas.openxmlformats.org/officeDocument/2006/relationships" name="Content–Central Vie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  <font>
      <name val="Arial"/>
      <b val="1"/>
      <sz val="13"/>
    </font>
    <font>
      <name val="Arial"/>
      <i val="1"/>
      <color rgb="FF555555"/>
      <sz val="9"/>
    </font>
    <font>
      <name val="Arial"/>
      <b val="1"/>
      <sz val="9"/>
    </font>
    <font>
      <name val="Arial"/>
      <sz val="9"/>
    </font>
  </fonts>
  <fills count="28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  <fill>
      <patternFill patternType="solid">
        <fgColor rgb="FF2A78D6"/>
      </patternFill>
    </fill>
    <fill>
      <patternFill patternType="solid">
        <fgColor rgb="FF1BAF7A"/>
      </patternFill>
    </fill>
    <fill>
      <patternFill patternType="solid">
        <fgColor rgb="FFEDA100"/>
      </patternFill>
    </fill>
  </fills>
  <borders count="60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555555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  <xf numFmtId="0" fontId="10" fillId="2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12" fillId="20" borderId="59" applyAlignment="1" pivotButton="0" quotePrefix="0" xfId="0">
      <alignment horizontal="center" vertical="center" wrapText="1"/>
    </xf>
    <xf numFmtId="0" fontId="6" fillId="25" borderId="26" applyAlignment="1" pivotButton="0" quotePrefix="0" xfId="0">
      <alignment vertical="center" wrapText="1"/>
    </xf>
    <xf numFmtId="0" fontId="0" fillId="0" borderId="26" pivotButton="0" quotePrefix="0" xfId="0"/>
    <xf numFmtId="0" fontId="13" fillId="15" borderId="25" applyAlignment="1" pivotButton="0" quotePrefix="0" xfId="0">
      <alignment horizontal="center" vertical="top" wrapText="1"/>
    </xf>
    <xf numFmtId="0" fontId="13" fillId="15" borderId="25" applyAlignment="1" pivotButton="0" quotePrefix="0" xfId="0">
      <alignment horizontal="left" vertical="top" wrapText="1"/>
    </xf>
    <xf numFmtId="0" fontId="12" fillId="15" borderId="25" applyAlignment="1" pivotButton="0" quotePrefix="0" xfId="0">
      <alignment horizontal="left" vertical="top" wrapText="1"/>
    </xf>
    <xf numFmtId="0" fontId="13" fillId="0" borderId="25" applyAlignment="1" pivotButton="0" quotePrefix="0" xfId="0">
      <alignment horizontal="center" vertical="top" wrapText="1"/>
    </xf>
    <xf numFmtId="0" fontId="13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left" vertical="top" wrapText="1"/>
    </xf>
    <xf numFmtId="0" fontId="12" fillId="0" borderId="25" applyAlignment="1" pivotButton="0" quotePrefix="0" xfId="0">
      <alignment horizontal="center" vertical="top"/>
    </xf>
    <xf numFmtId="0" fontId="10" fillId="22" borderId="0" applyAlignment="1" pivotButton="0" quotePrefix="0" xfId="0">
      <alignment vertical="center"/>
    </xf>
    <xf numFmtId="0" fontId="12" fillId="22" borderId="59" applyAlignment="1" pivotButton="0" quotePrefix="0" xfId="0">
      <alignment horizontal="center" vertical="center" wrapText="1"/>
    </xf>
    <xf numFmtId="0" fontId="6" fillId="26" borderId="26" applyAlignment="1" pivotButton="0" quotePrefix="0" xfId="0">
      <alignment vertical="center" wrapText="1"/>
    </xf>
    <xf numFmtId="0" fontId="13" fillId="17" borderId="25" applyAlignment="1" pivotButton="0" quotePrefix="0" xfId="0">
      <alignment horizontal="center" vertical="top" wrapText="1"/>
    </xf>
    <xf numFmtId="0" fontId="13" fillId="17" borderId="25" applyAlignment="1" pivotButton="0" quotePrefix="0" xfId="0">
      <alignment horizontal="left" vertical="top" wrapText="1"/>
    </xf>
    <xf numFmtId="0" fontId="12" fillId="17" borderId="25" applyAlignment="1" pivotButton="0" quotePrefix="0" xfId="0">
      <alignment horizontal="left" vertical="top" wrapText="1"/>
    </xf>
    <xf numFmtId="0" fontId="0" fillId="0" borderId="54" pivotButton="0" quotePrefix="0" xfId="0"/>
    <xf numFmtId="0" fontId="0" fillId="0" borderId="55" pivotButton="0" quotePrefix="0" xfId="0"/>
    <xf numFmtId="0" fontId="0" fillId="0" borderId="44" pivotButton="0" quotePrefix="0" xfId="0"/>
    <xf numFmtId="0" fontId="0" fillId="0" borderId="45" pivotButton="0" quotePrefix="0" xfId="0"/>
    <xf numFmtId="0" fontId="10" fillId="23" borderId="0" applyAlignment="1" pivotButton="0" quotePrefix="0" xfId="0">
      <alignment vertical="center"/>
    </xf>
    <xf numFmtId="0" fontId="12" fillId="23" borderId="59" applyAlignment="1" pivotButton="0" quotePrefix="0" xfId="0">
      <alignment horizontal="center" vertical="center" wrapText="1"/>
    </xf>
    <xf numFmtId="0" fontId="6" fillId="27" borderId="26" applyAlignment="1" pivotButton="0" quotePrefix="0" xfId="0">
      <alignment vertical="center" wrapText="1"/>
    </xf>
    <xf numFmtId="0" fontId="13" fillId="18" borderId="25" applyAlignment="1" pivotButton="0" quotePrefix="0" xfId="0">
      <alignment horizontal="center" vertical="top" wrapText="1"/>
    </xf>
    <xf numFmtId="0" fontId="13" fillId="18" borderId="25" applyAlignment="1" pivotButton="0" quotePrefix="0" xfId="0">
      <alignment horizontal="left" vertical="top" wrapText="1"/>
    </xf>
    <xf numFmtId="0" fontId="12" fillId="18" borderId="25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110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 — existence only: a step that never runs counts here, not in Journey Step Health</t>
        </is>
      </c>
      <c r="I3" s="55" t="inlineStr">
        <is>
          <t>lecture schedule adherence (Program Ops) · classroom-quiz conduction &amp; attendance (Instructors) · practice release schedule (Program Ops + Learning Domains) · module-quiz schedule adherence &amp; integrity (Program Ops) · skill-assessment schedule adherence (Program Ops conducts) · learning assets (PPT + recorded video) ready &amp; loaded ≥1 month ahead (Instructors-dept SLA)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 Assembled KPI — each dependent step carries a named owner (col I); we orchestrate, route, escalate: red 2 consecutive weeks → HOD-to-HOD.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biweekly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Monthly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110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 Arbitration with Score Bands: both red → the bleeding cell names the lane — high effort + low value = content not converting effort (Learning Domains); effort itself draining = engagement problem (Learning Platform).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Learning Domains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Learning Domains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136" customHeight="1">
      <c r="A18" s="74" t="n">
        <v>15</v>
      </c>
      <c r="B18" s="75" t="n"/>
      <c r="C18" s="76" t="inlineStr">
        <is>
          <t>Content Efficiency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Agentic Production Coverage</t>
        </is>
      </c>
      <c r="G18" s="76" t="inlineStr">
        <is>
          <t>Content Efficiency:All::Agentic Production Coverage</t>
        </is>
      </c>
      <c r="H18" s="76" t="inlineStr">
        <is>
          <t>% of authorable content production (questions, slides, cheatsheets, reading material, translations) flowing through registered agentic workflows — machine first drafts, humans as reviewers not authors; blended rollup, excludes on-camera and live-delivery work</t>
        </is>
      </c>
      <c r="I18" s="76" t="inlineStr">
        <is>
          <t>per-type coverage % (questions · slides · cheatsheets · reading material · translations) · registered-workflow count (pipeline registry) · human-review pass rate · cost-per-item trend (Content–Central)</t>
        </is>
      </c>
      <c r="J18" s="76" t="inlineStr">
        <is>
          <t>more production through governed pipelines → faster fixes + consistent quality at scale (CIRE / CIR run through these pipes) → Academics CSAT</t>
        </is>
      </c>
      <c r="K18" s="76" t="inlineStr">
        <is>
          <t>Content–Central + DA/DEs — pipelines &amp; production workflows; domain teams publish through them</t>
        </is>
      </c>
      <c r="L18" s="76" t="inlineStr">
        <is>
          <t>Agentic Content Platform</t>
        </is>
      </c>
      <c r="M18" s="74" t="inlineStr">
        <is>
          <t>%</t>
        </is>
      </c>
      <c r="N18" s="76" t="inlineStr">
        <is>
          <t>Monthly</t>
        </is>
      </c>
      <c r="O18" s="78" t="n">
        <v>90</v>
      </c>
      <c r="P18" s="79" t="n"/>
      <c r="Q18" s="80">
        <f>IF(AND(ISNUMBER(O18),ISNUMBER(P18)),O18-P18,"")</f>
        <v/>
      </c>
      <c r="R18" s="76" t="inlineStr">
        <is>
          <t>ACP's tracker row now CIRE/CIR sit with Learning Domains — this lane builds the pipes; the issue KPIs score the fixes. Target 90% blended (§5); read with cost-per-item + Content Issue Recurrence. Functions cell draft for red-pen. Absorbs the retired R&amp;D Initiative Impact — initiative counting folds into coverage % + cost-per-item + recurrence; mirrored in FS &amp; CS Core Section A at the same 90.</t>
        </is>
      </c>
    </row>
    <row r="19" ht="71" customHeight="1">
      <c r="A19" s="74" t="n">
        <v>16</v>
      </c>
      <c r="B19" s="75" t="n"/>
      <c r="C19" s="76" t="inlineStr">
        <is>
          <t>Content Effectiveness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Learning Environment Satisfaction</t>
        </is>
      </c>
      <c r="G19" s="76" t="inlineStr">
        <is>
          <t>Content Effectiveness:All::Learning Environment Satisfaction</t>
        </is>
      </c>
      <c r="H19" s="76" t="inlineStr">
        <is>
          <t>Student rating of the learning environment — driven by the four platform rows below</t>
        </is>
      </c>
      <c r="I19" s="76" t="inlineStr">
        <is>
          <t>driven by the four rows below</t>
        </is>
      </c>
      <c r="J19" s="76" t="inlineStr">
        <is>
          <t>platform reliable &amp; fast → rating ≥4.5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score /5</t>
        </is>
      </c>
      <c r="N19" s="76" t="inlineStr">
        <is>
          <t>Monthly</t>
        </is>
      </c>
      <c r="O19" s="78" t="n">
        <v>4.5</v>
      </c>
      <c r="P19" s="79" t="n"/>
      <c r="Q19" s="80">
        <f>IF(AND(ISNUMBER(O19),ISNUMBER(P19)),O19-P19,"")</f>
        <v/>
      </c>
      <c r="R19" s="76" t="inlineStr">
        <is>
          <t>Umbrella for the four Developer Platform rows below. Verbatims route like CROSS-FUNCTION: reliability complaints → Developer Platform backlog · capability gaps → Learning Platform capability registry.</t>
        </is>
      </c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Availability &amp; Saturation Detection</t>
        </is>
      </c>
      <c r="G20" s="76" t="inlineStr">
        <is>
          <t>Platform Reliability:All::Availability &amp; Saturation Detection</t>
        </is>
      </c>
      <c r="H20" s="76" t="inlineStr">
        <is>
          <t>% of critical-service saturations alerted, detection ≤10 min (IDE, compiler, workflows)</t>
        </is>
      </c>
      <c r="I20" s="76" t="inlineStr">
        <is>
          <t>critical services (IDE, compiler, workflows) · alert thresholds · detection time</t>
        </is>
      </c>
      <c r="J20" s="76" t="inlineStr">
        <is>
          <t>saturation detected ≤10 min → fixed before students feel it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100</v>
      </c>
      <c r="P20" s="79" t="n"/>
      <c r="Q20" s="80">
        <f>IF(AND(ISNUMBER(O20),ISNUMBER(P20)),O20-P20,"")</f>
        <v/>
      </c>
      <c r="R20" s="76" t="inlineStr"/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Tail-Latency User Impact</t>
        </is>
      </c>
      <c r="G21" s="76" t="inlineStr">
        <is>
          <t>Platform Reliability:All::Tail-Latency User Impact</t>
        </is>
      </c>
      <c r="H21" s="76" t="inlineStr">
        <is>
          <t>% of students beyond P99 latency limits — IDE launch / submit / publish &lt;60 s</t>
        </is>
      </c>
      <c r="I21" s="76" t="inlineStr">
        <is>
          <t>IDE launch / submit / publish P99 &lt;60 s · compiler per-language limits</t>
        </is>
      </c>
      <c r="J21" s="76" t="inlineStr">
        <is>
          <t>P99 within limits → coding feels instant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0</v>
      </c>
      <c r="P21" s="79" t="n"/>
      <c r="Q21" s="80">
        <f>IF(AND(ISNUMBER(O21),ISNUMBER(P21)),O21-P21,"")</f>
        <v/>
      </c>
      <c r="R21" s="76" t="inlineStr">
        <is>
          <t>Lower is better — variance reads inverted.</t>
        </is>
      </c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Resolution Efficiency</t>
        </is>
      </c>
      <c r="G22" s="76" t="inlineStr">
        <is>
          <t>Platform Reliability:All::Platform Issue Resolution Efficiency</t>
        </is>
      </c>
      <c r="H22" s="76" t="inlineStr">
        <is>
          <t>% of platform issues resolved within the 2-day TAT (internal same-day)</t>
        </is>
      </c>
      <c r="I22" s="76" t="inlineStr">
        <is>
          <t>2-day TAT (internal same-day)</t>
        </is>
      </c>
      <c r="J22" s="76" t="inlineStr">
        <is>
          <t>platform issue → fixed fast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Monthly</t>
        </is>
      </c>
      <c r="O22" s="78" t="n">
        <v>80</v>
      </c>
      <c r="P22" s="79" t="n"/>
      <c r="Q22" s="80">
        <f>IF(AND(ISNUMBER(O22),ISNUMBER(P22)),O22-P22,"")</f>
        <v/>
      </c>
      <c r="R22" s="76" t="inlineStr"/>
    </row>
    <row r="23" ht="32" customHeight="1">
      <c r="A23" s="74" t="n">
        <v>20</v>
      </c>
      <c r="B23" s="75" t="n"/>
      <c r="C23" s="76" t="inlineStr">
        <is>
          <t>Platform Reliability</t>
        </is>
      </c>
      <c r="D23" s="74" t="inlineStr">
        <is>
          <t>All</t>
        </is>
      </c>
      <c r="E23" s="74" t="inlineStr">
        <is>
          <t>All</t>
        </is>
      </c>
      <c r="F23" s="77" t="inlineStr">
        <is>
          <t>Platform Issue Recurrence</t>
        </is>
      </c>
      <c r="G23" s="76" t="inlineStr">
        <is>
          <t>Platform Reliability:All::Platform Issue Recurrence</t>
        </is>
      </c>
      <c r="H23" s="76" t="inlineStr">
        <is>
          <t>% of resolved platform issues that recur (quarter)</t>
        </is>
      </c>
      <c r="I23" s="76" t="inlineStr">
        <is>
          <t>root-cause close</t>
        </is>
      </c>
      <c r="J23" s="76" t="inlineStr">
        <is>
          <t>fixed → never twice → LES → Academics CSAT</t>
        </is>
      </c>
      <c r="K23" s="76" t="inlineStr">
        <is>
          <t>Engineering</t>
        </is>
      </c>
      <c r="L23" s="76" t="inlineStr">
        <is>
          <t>Developer Platform</t>
        </is>
      </c>
      <c r="M23" s="74" t="inlineStr">
        <is>
          <t>%</t>
        </is>
      </c>
      <c r="N23" s="76" t="inlineStr">
        <is>
          <t>Quarterly</t>
        </is>
      </c>
      <c r="O23" s="78" t="n">
        <v>2</v>
      </c>
      <c r="P23" s="79" t="n"/>
      <c r="Q23" s="80">
        <f>IF(AND(ISNUMBER(O23),ISNUMBER(P23)),O23-P23,"")</f>
        <v/>
      </c>
      <c r="R23" s="76" t="inlineStr">
        <is>
          <t>Lower is better — variance reads inverted.</t>
        </is>
      </c>
    </row>
    <row r="24" ht="110" customHeight="1">
      <c r="A24" s="74" t="n">
        <v>21</v>
      </c>
      <c r="B24" s="75" t="n"/>
      <c r="C24" s="76" t="inlineStr">
        <is>
          <t>Program Delivery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Journey Step Health</t>
        </is>
      </c>
      <c r="G24" s="76" t="inlineStr">
        <is>
          <t>Program Delivery:NIAT::Journey Step Health</t>
        </is>
      </c>
      <c r="H24" s="76" t="inlineStr">
        <is>
          <t>% of the journey steps that ran this month finishing green (one-pager §11 thresholds) — NIAT first, then per product. Health of what ran: a step that never ran counts in PDG, not here</t>
        </is>
      </c>
      <c r="I24" s="76" t="inlineStr">
        <is>
          <t>the 11 journey steps, each with a named owner (§11 owner column) — attendance (Program Ops) · class runs (Program Ops + Instructors) · classroom quiz (Instructors) · quiz performance (Learning Domains) · practice availability (Program Ops + LD/ACP) · practice return &amp; completion (LP lane) · revision (LP lane) · module quiz (Program Ops) · skill assessment (Program Ops) · SA preparedness (Learning Domains)</t>
        </is>
      </c>
      <c r="J24" s="76" t="inlineStr">
        <is>
          <t>capabilities configured → 11 steps green → assembled experience works → Academics CSAT (+ SPI)</t>
        </is>
      </c>
      <c r="K24" s="76" t="inlineStr">
        <is>
          <t>Product Managers + DA/DEs + CSI team + Pedagogy Experts (journey design)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budget — blank until then (org-tracker precedent). Assembled KPI — steps owned per col I (§11 owner column); we orchestrate, route, escalate.</t>
        </is>
      </c>
    </row>
    <row r="25" ht="45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Resolution Efficiency  [CROSS-FUNCTION]</t>
        </is>
      </c>
      <c r="G25" s="76" t="inlineStr">
        <is>
          <t>Content Efficiency:NIAT::Product Issue Resolution Efficiency</t>
        </is>
      </c>
      <c r="H25" s="76" t="inlineStr">
        <is>
          <t>% of student-reported product issues resolved within TAT — resolved across functions, we route; fix live + students notified</t>
        </is>
      </c>
      <c r="I25" s="76" t="inlineStr">
        <is>
          <t>routing to owning department · fix live · students notified (silent fixes don't count)</t>
        </is>
      </c>
      <c r="J25" s="76" t="inlineStr">
        <is>
          <t>any student issue → routed → fixed + notified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Monthly</t>
        </is>
      </c>
      <c r="O25" s="79" t="n"/>
      <c r="P25" s="79" t="n"/>
      <c r="Q25" s="80">
        <f>IF(AND(ISNUMBER(O25),ISNUMBER(P25)),O25-P25,"")</f>
        <v/>
      </c>
      <c r="R25" s="76" t="inlineStr">
        <is>
          <t>Q1 baseline sets the TAT target — blank until then.</t>
        </is>
      </c>
    </row>
    <row r="26" ht="32" customHeight="1">
      <c r="A26" s="74" t="n">
        <v>23</v>
      </c>
      <c r="B26" s="75" t="n"/>
      <c r="C26" s="76" t="inlineStr">
        <is>
          <t>Content Efficiency</t>
        </is>
      </c>
      <c r="D26" s="74" t="inlineStr">
        <is>
          <t>NIAT</t>
        </is>
      </c>
      <c r="E26" s="74" t="inlineStr">
        <is>
          <t>All</t>
        </is>
      </c>
      <c r="F26" s="77" t="inlineStr">
        <is>
          <t>Product Issue Recurrence  [CROSS-FUNCTION]</t>
        </is>
      </c>
      <c r="G26" s="76" t="inlineStr">
        <is>
          <t>Content Efficiency:NIAT::Product Issue Recurrence</t>
        </is>
      </c>
      <c r="H26" s="76" t="inlineStr">
        <is>
          <t>% of resolved product issues that recur at student-journey level (quarter)</t>
        </is>
      </c>
      <c r="I26" s="76" t="inlineStr">
        <is>
          <t>student-journey-level recurrence watch</t>
        </is>
      </c>
      <c r="J26" s="76" t="inlineStr">
        <is>
          <t>resolved once → never twice at journey level → Academics CSAT</t>
        </is>
      </c>
      <c r="K26" s="76" t="inlineStr">
        <is>
          <t>Product Managers + CSI team</t>
        </is>
      </c>
      <c r="L26" s="76" t="inlineStr">
        <is>
          <t>Product Learning Experience</t>
        </is>
      </c>
      <c r="M26" s="74" t="inlineStr">
        <is>
          <t>%</t>
        </is>
      </c>
      <c r="N26" s="76" t="inlineStr">
        <is>
          <t>Quarterly</t>
        </is>
      </c>
      <c r="O26" s="78" t="n">
        <v>2</v>
      </c>
      <c r="P26" s="79" t="n"/>
      <c r="Q26" s="80">
        <f>IF(AND(ISNUMBER(O26),ISNUMBER(P26)),O26-P26,"")</f>
        <v/>
      </c>
      <c r="R26" s="76" t="inlineStr">
        <is>
          <t>Lower is better — variance reads inverted.</t>
        </is>
      </c>
    </row>
    <row r="27" ht="24" customHeight="1">
      <c r="A27" s="81" t="n">
        <v>24</v>
      </c>
      <c r="B27" s="82" t="inlineStr">
        <is>
          <t>KRA 3 — University Relations CSAT
4.5 · 4.0 · 4.0</t>
        </is>
      </c>
      <c r="C27" s="83" t="inlineStr">
        <is>
          <t>University Alignment</t>
        </is>
      </c>
      <c r="D27" s="81" t="inlineStr">
        <is>
          <t>NIAT</t>
        </is>
      </c>
      <c r="E27" s="81" t="inlineStr">
        <is>
          <t>B3</t>
        </is>
      </c>
      <c r="F27" s="84" t="inlineStr">
        <is>
          <t>BOS Credit Acceptance</t>
        </is>
      </c>
      <c r="G27" s="83" t="inlineStr">
        <is>
          <t>University Alignment:NIAT:B3::BOS Credit Acceptance</t>
        </is>
      </c>
      <c r="H27" s="83" t="inlineStr">
        <is>
          <t>% of proposed credits accepted first-pass by the university BOS</t>
        </is>
      </c>
      <c r="I27" s="83" t="inlineStr">
        <is>
          <t>per-credit acceptance per university · curriculum finalisation (Bharath, PK Das, Visakha pending)</t>
        </is>
      </c>
      <c r="J27" s="83" t="inlineStr">
        <is>
          <t>credits proposed → accepted first pass → university leadership confidence → Univ Relations CSAT</t>
        </is>
      </c>
      <c r="K27" s="83" t="inlineStr">
        <is>
          <t>CSI team + Content</t>
        </is>
      </c>
      <c r="L27" s="83" t="inlineStr">
        <is>
          <t>Product Learning Experience</t>
        </is>
      </c>
      <c r="M27" s="81" t="inlineStr">
        <is>
          <t>%</t>
        </is>
      </c>
      <c r="N27" s="83" t="inlineStr">
        <is>
          <t>Per cycle</t>
        </is>
      </c>
      <c r="O27" s="85" t="n">
        <v>85</v>
      </c>
      <c r="P27" s="86" t="n"/>
      <c r="Q27" s="87">
        <f>IF(AND(ISNUMBER(O27),ISNUMBER(P27)),O27-P27,"")</f>
        <v/>
      </c>
      <c r="R27" s="83" t="inlineStr">
        <is>
          <t>Cohort rows split where targets differ: B3 85 · B4 90.</t>
        </is>
      </c>
    </row>
    <row r="28" ht="24" customHeight="1">
      <c r="A28" s="88" t="n">
        <v>25</v>
      </c>
      <c r="B28" s="89" t="n"/>
      <c r="C28" s="90" t="n"/>
      <c r="D28" s="90" t="n"/>
      <c r="E28" s="88" t="inlineStr">
        <is>
          <t>B4</t>
        </is>
      </c>
      <c r="F28" s="90" t="n"/>
      <c r="G28" s="91" t="inlineStr">
        <is>
          <t>University Alignment:NIAT:B4::BOS Credit Acceptance</t>
        </is>
      </c>
      <c r="H28" s="90" t="n"/>
      <c r="I28" s="90" t="n"/>
      <c r="J28" s="90" t="n"/>
      <c r="K28" s="90" t="n"/>
      <c r="L28" s="90" t="n"/>
      <c r="M28" s="90" t="n"/>
      <c r="N28" s="90" t="n"/>
      <c r="O28" s="92" t="n">
        <v>90</v>
      </c>
      <c r="P28" s="90" t="n"/>
      <c r="Q28" s="93">
        <f>IF(AND(ISNUMBER(O28),ISNUMBER(P28)),O28-P28,"")</f>
        <v/>
      </c>
      <c r="R28" s="90" t="n"/>
    </row>
    <row r="29" ht="30" customHeight="1">
      <c r="A29" s="90" t="n"/>
      <c r="B29" s="89" t="n"/>
      <c r="C29" s="109" t="inlineStr">
        <is>
          <t>Program Delivery Gap feeds this KRA too — tracked once as row 1 (CASCADE): delivered = approved plan → university trust → Univ Relations CSAT.</t>
        </is>
      </c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P29" s="90" t="n"/>
      <c r="Q29" s="90" t="n"/>
      <c r="R29" s="90" t="n"/>
    </row>
    <row r="30" ht="45" customHeight="1">
      <c r="A30" s="88" t="n">
        <v>26</v>
      </c>
      <c r="B30" s="89" t="n"/>
      <c r="C30" s="91" t="inlineStr">
        <is>
          <t>University Alignment</t>
        </is>
      </c>
      <c r="D30" s="88" t="inlineStr">
        <is>
          <t>NIAT</t>
        </is>
      </c>
      <c r="E30" s="88" t="inlineStr">
        <is>
          <t>—</t>
        </is>
      </c>
      <c r="F30" s="94" t="inlineStr">
        <is>
          <t>University Communication TAT</t>
        </is>
      </c>
      <c r="G30" s="91" t="inlineStr">
        <is>
          <t>University Alignment:NIAT::University Communication TAT</t>
        </is>
      </c>
      <c r="H30" s="91" t="inlineStr">
        <is>
          <t>% of university requests answered within TAT — ack ≤1 business day, standard 3-day TAT</t>
        </is>
      </c>
      <c r="I30" s="91" t="inlineStr">
        <is>
          <t>ack ≤1 business day · request-class TATs (standard 3 days, heavy artefacts pre-agreed) · university-request log (month 1)</t>
        </is>
      </c>
      <c r="J30" s="91" t="inlineStr">
        <is>
          <t>requests answered in TAT → partnership friction drops → Univ Relations CSAT</t>
        </is>
      </c>
      <c r="K30" s="91" t="inlineStr">
        <is>
          <t>CSI team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Monthly</t>
        </is>
      </c>
      <c r="O30" s="92" t="n">
        <v>90</v>
      </c>
      <c r="P30" s="90" t="n"/>
      <c r="Q30" s="93">
        <f>IF(AND(ISNUMBER(O30),ISNUMBER(P30)),O30-P30,"")</f>
        <v/>
      </c>
      <c r="R30" s="91" t="inlineStr">
        <is>
          <t>University-request log builds in month 1.</t>
        </is>
      </c>
    </row>
    <row r="31" ht="32" customHeight="1">
      <c r="A31" s="88" t="n">
        <v>27</v>
      </c>
      <c r="B31" s="89" t="n"/>
      <c r="C31" s="91" t="inlineStr">
        <is>
          <t>University Alignment</t>
        </is>
      </c>
      <c r="D31" s="88" t="inlineStr">
        <is>
          <t>NIAT</t>
        </is>
      </c>
      <c r="E31" s="88" t="inlineStr">
        <is>
          <t>All</t>
        </is>
      </c>
      <c r="F31" s="94" t="inlineStr">
        <is>
          <t>University Curriculum &amp; Framework Compliance</t>
        </is>
      </c>
      <c r="G31" s="91" t="inlineStr">
        <is>
          <t>University Alignment:NIAT::University Curriculum &amp; Framework Compliance</t>
        </is>
      </c>
      <c r="H31" s="91" t="inlineStr">
        <is>
          <t>% of submission cycles fully compliant — approved BOS syllabus + NHQRF / Woolf / AICTE / UGC</t>
        </is>
      </c>
      <c r="I31" s="91" t="inlineStr">
        <is>
          <t>delivery matches the approved BOS syllabus · NHQRF / Woolf / AICTE / UGC audits</t>
        </is>
      </c>
      <c r="J31" s="91" t="inlineStr">
        <is>
          <t>BOS &amp; frameworks kept → zero partnership risk → Univ Relations CSAT</t>
        </is>
      </c>
      <c r="K31" s="91" t="inlineStr">
        <is>
          <t>CSI team + Content</t>
        </is>
      </c>
      <c r="L31" s="91" t="inlineStr">
        <is>
          <t>Product Learning Experience</t>
        </is>
      </c>
      <c r="M31" s="88" t="inlineStr">
        <is>
          <t>%</t>
        </is>
      </c>
      <c r="N31" s="91" t="inlineStr">
        <is>
          <t>Per cycle</t>
        </is>
      </c>
      <c r="O31" s="92" t="n">
        <v>100</v>
      </c>
      <c r="P31" s="90" t="n"/>
      <c r="Q31" s="93">
        <f>IF(AND(ISNUMBER(O31),ISNUMBER(P31)),O31-P31,"")</f>
        <v/>
      </c>
      <c r="R31" s="91" t="inlineStr"/>
    </row>
    <row r="32" ht="32" customHeight="1">
      <c r="A32" s="95" t="n">
        <v>28</v>
      </c>
      <c r="B32" s="96" t="inlineStr">
        <is>
          <t>KRA 4 — GRIT Novice Badges
5,000</t>
        </is>
      </c>
      <c r="C32" s="97" t="inlineStr">
        <is>
          <t>Content Relevance</t>
        </is>
      </c>
      <c r="D32" s="95" t="inlineStr">
        <is>
          <t>NIAT</t>
        </is>
      </c>
      <c r="E32" s="95" t="inlineStr">
        <is>
          <t>All</t>
        </is>
      </c>
      <c r="F32" s="98" t="inlineStr">
        <is>
          <t>Industry Update Adherence</t>
        </is>
      </c>
      <c r="G32" s="97" t="inlineStr">
        <is>
          <t>Content Relevance:NIAT::Industry Update Adherence</t>
        </is>
      </c>
      <c r="H32" s="97" t="inlineStr">
        <is>
          <t>% of GRIT-tested skills covered in live course content — Learning–GRIT delta → 0</t>
        </is>
      </c>
      <c r="I32" s="97" t="inlineStr">
        <is>
          <t>GRIT-tested skills inventory vs live course content</t>
        </is>
      </c>
      <c r="J32" s="97" t="inlineStr">
        <is>
          <t>course content covers GRIT-tested skills → students contest-ready → Novice badges</t>
        </is>
      </c>
      <c r="K32" s="97" t="inlineStr">
        <is>
          <t>Content</t>
        </is>
      </c>
      <c r="L32" s="97" t="inlineStr">
        <is>
          <t>Learning Domains</t>
        </is>
      </c>
      <c r="M32" s="95" t="inlineStr">
        <is>
          <t>%</t>
        </is>
      </c>
      <c r="N32" s="97" t="inlineStr">
        <is>
          <t>Quarterly</t>
        </is>
      </c>
      <c r="O32" s="99" t="n">
        <v>100</v>
      </c>
      <c r="P32" s="100" t="n"/>
      <c r="Q32" s="101">
        <f>IF(AND(ISNUMBER(O32),ISNUMBER(P32)),O32-P32,"")</f>
        <v/>
      </c>
      <c r="R32" s="97" t="inlineStr"/>
    </row>
    <row r="33" ht="30" customHeight="1">
      <c r="A33" s="102" t="n"/>
      <c r="B33" s="103" t="n"/>
      <c r="C33" s="104" t="inlineStr">
        <is>
          <t>GRIT-feature KPIs — org-owned, pending definition with the GRIT owner (Sundar); rows enter the tracker when defined.</t>
        </is>
      </c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30" customHeight="1">
      <c r="A34" s="105" t="n"/>
      <c r="B34" s="106" t="inlineStr">
        <is>
          <t>KRA 5 — Employability
B3 80% · B4 80%</t>
        </is>
      </c>
      <c r="C34" s="107" t="inlineStr">
        <is>
          <t>Employability mapping deliberately not forced — skill mastery is the long lever; rows enter the tracker when the mapping is agreed.</t>
        </is>
      </c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</row>
  </sheetData>
  <mergeCells count="59">
    <mergeCell ref="I4:I11"/>
    <mergeCell ref="K4:K11"/>
    <mergeCell ref="D27:D28"/>
    <mergeCell ref="M4:M11"/>
    <mergeCell ref="E8:E11"/>
    <mergeCell ref="F12:F13"/>
    <mergeCell ref="L12:L13"/>
    <mergeCell ref="N12:N13"/>
    <mergeCell ref="C1:C2"/>
    <mergeCell ref="E1:E2"/>
    <mergeCell ref="K1:K2"/>
    <mergeCell ref="M1:M2"/>
    <mergeCell ref="F4:F11"/>
    <mergeCell ref="J27:J28"/>
    <mergeCell ref="H4:H11"/>
    <mergeCell ref="N4:N11"/>
    <mergeCell ref="E4:E7"/>
    <mergeCell ref="R27:R28"/>
    <mergeCell ref="R4:R11"/>
    <mergeCell ref="R12:R13"/>
    <mergeCell ref="K27:K28"/>
    <mergeCell ref="C12:C13"/>
    <mergeCell ref="I12:I13"/>
    <mergeCell ref="K12:K13"/>
    <mergeCell ref="M12:M13"/>
    <mergeCell ref="B1:B2"/>
    <mergeCell ref="C34:R34"/>
    <mergeCell ref="D12:D13"/>
    <mergeCell ref="L1:L2"/>
    <mergeCell ref="C4:C11"/>
    <mergeCell ref="N1:N2"/>
    <mergeCell ref="C15:R15"/>
    <mergeCell ref="M27:M28"/>
    <mergeCell ref="C33:R33"/>
    <mergeCell ref="F27:F28"/>
    <mergeCell ref="H27:H28"/>
    <mergeCell ref="H12:H13"/>
    <mergeCell ref="C27:C28"/>
    <mergeCell ref="J12:J13"/>
    <mergeCell ref="G1:G2"/>
    <mergeCell ref="I1:I2"/>
    <mergeCell ref="C29:R29"/>
    <mergeCell ref="B27:B31"/>
    <mergeCell ref="O1:R1"/>
    <mergeCell ref="L27:L28"/>
    <mergeCell ref="D4:D11"/>
    <mergeCell ref="J4:J11"/>
    <mergeCell ref="N27:N28"/>
    <mergeCell ref="L4:L11"/>
    <mergeCell ref="B32:B33"/>
    <mergeCell ref="B16:B26"/>
    <mergeCell ref="D1:D2"/>
    <mergeCell ref="B3:B15"/>
    <mergeCell ref="B34"/>
    <mergeCell ref="F1:F2"/>
    <mergeCell ref="H1:H2"/>
    <mergeCell ref="J1:J2"/>
    <mergeCell ref="I27:I28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FY26-27'!$K$3:$K$34,"*Content*")-COUNTIF('KPI Tracker FY26-27'!$K$3:$K$34,"*Content–Central*")</f>
        <v/>
      </c>
    </row>
    <row r="3" ht="30" customHeight="1">
      <c r="A3" s="110" t="inlineStr">
        <is>
          <t>Content–Central (production ops)</t>
        </is>
      </c>
      <c r="B3" s="111" t="inlineStr">
        <is>
          <t>Agentic Production Coverage — the agentic pipelines &amp; production workflows the domain teams publish through</t>
        </is>
      </c>
      <c r="C3" s="112">
        <f>COUNTIF('KPI Tracker FY26-27'!$K$3:$K$34,"*Content–Central*")</f>
        <v/>
      </c>
    </row>
    <row r="4" ht="30" customHeight="1">
      <c r="A4" s="110" t="inlineStr">
        <is>
          <t>Engineering</t>
        </is>
      </c>
      <c r="B4" s="111" t="inlineStr">
        <is>
          <t>LES + its four drivers (DP lane) · Content Issue pair tooling/routing (ACP lane) · Cell Migration build (LP lane)</t>
        </is>
      </c>
      <c r="C4" s="112">
        <f>COUNTIF('KPI Tracker FY26-27'!$K$3:$K$34,"*Engineering*")</f>
        <v/>
      </c>
    </row>
    <row r="5" ht="30" customHeight="1">
      <c r="A5" s="110" t="inlineStr">
        <is>
          <t>Product Managers</t>
        </is>
      </c>
      <c r="B5" s="111" t="inlineStr">
        <is>
          <t>Program Delivery Gap (feeds KRA 1 + 3) · Engagement-Matrix Cell Migration · Journey Step Health · Product Issue pair</t>
        </is>
      </c>
      <c r="C5" s="112">
        <f>COUNTIF('KPI Tracker FY26-27'!$K$3:$K$34,"*Product Managers*")</f>
        <v/>
      </c>
    </row>
    <row r="6" ht="30" customHeight="1">
      <c r="A6" s="110" t="inlineStr">
        <is>
          <t>Pedagogy Experts</t>
        </is>
      </c>
      <c r="B6" s="111" t="inlineStr">
        <is>
          <t>Module-Quiz Score Bands · Content–Assessment Alignment · Journey Step Health (journey design at the CSI team)</t>
        </is>
      </c>
      <c r="C6" s="112">
        <f>COUNTIF('KPI Tracker FY26-27'!$K$3:$K$34,"*Pedagogy Experts*")</f>
        <v/>
      </c>
    </row>
    <row r="7" ht="30" customHeight="1">
      <c r="A7" s="110" t="inlineStr">
        <is>
          <t>DA/DEs</t>
        </is>
      </c>
      <c r="B7" s="111" t="inlineStr">
        <is>
          <t>score analysis (bands, alignment) · LE dashboard (cell migration) · Journey Step Health instrumentation · Agentic Production Coverage instrumentation</t>
        </is>
      </c>
      <c r="C7" s="112">
        <f>COUNTIF('KPI Tracker FY26-27'!$K$3:$K$34,"*DA/DE*")</f>
        <v/>
      </c>
    </row>
    <row r="8" ht="30" customHeight="1">
      <c r="A8" s="110" t="inlineStr">
        <is>
          <t>CSI team</t>
        </is>
      </c>
      <c r="B8" s="111" t="inlineStr">
        <is>
          <t>Program Delivery Gap (feeds KRA 1 + 3) · Journey Step Health · Product Issue pair · BOS · University Communication TAT · Compliance</t>
        </is>
      </c>
      <c r="C8" s="112">
        <f>COUNTIF('KPI Tracker FY26-27'!$K$3:$K$34,"*CSI team*")</f>
        <v/>
      </c>
    </row>
    <row r="9" ht="30" customHeight="1">
      <c r="A9" s="110" t="inlineStr">
        <is>
          <t>Asset production — Graphic Designers · Video Editors · SDIs · Packaging Teams</t>
        </is>
      </c>
      <c r="B9" s="111" t="inlineStr">
        <is>
          <t>Program Delivery Gap assets leg — learning assets (PPT + recorded video) ready &amp; loaded ≥1 month ahead</t>
        </is>
      </c>
      <c r="C9" s="112">
        <f>COUNTIF('KPI Tracker FY26-27'!$K$3:$K$34,"*Graphic Designers*")</f>
        <v/>
      </c>
    </row>
    <row r="10" ht="30" customHeight="1">
      <c r="A10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10" s="114" t="n"/>
      <c r="C10" s="114" t="n"/>
    </row>
  </sheetData>
  <mergeCells count="1">
    <mergeCell ref="A10:C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70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Learning Domains (domain curriculum, pedagogy &amp; question banks) · Learning Platform (shared study / practice / revision / assessment capabilities) · Product Learning Experience (product-specific learning experiences + university delivery &amp; compliance) · Agentic Content Platform (AI platforms &amp; automation for content production) · Developer Platform (IDE, compiler &amp; platform services) · Shared/PMO (department-wide programs). Category (col C) = what it measures · Lane (col L) = who is accountable · Functions (col K) = who does the work.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 (Content Systems &amp; Infra),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55" customHeight="1">
      <c r="A7" s="32" t="inlineStr">
        <is>
          <t>Markers</t>
        </is>
      </c>
      <c r="B7" s="33" t="inlineStr">
        <is>
          <t>[ORG] org-owned scoreboard, tracked not owned · [CROSS-FUNCTION] resolved across functions,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  <row r="21" ht="70" customHeight="1">
      <c r="A21" s="48" t="inlineStr">
        <is>
          <t>Team views (tabs 4–5)</t>
        </is>
      </c>
      <c r="B21" s="49" t="inlineStr">
        <is>
          <t>Functional Operating Views — one satellite tab per team, docked to the tracker, never merged. Section A mirrors the tracker rows the team is on the hook for (live formulas — numbers are edited on the tracker tab only). Section B = KPIs the team owns, budgets &amp; actuals here, each with a Ladders-to call: direct (an org KRA number) · enabling (a dept §5 KPI) · hygiene (guardrail, no ladder by design). Section C = asks of counterparties. Pilots: CSI team · FullStack &amp; CS Core.</t>
        </is>
      </c>
    </row>
    <row r="22" ht="84" customHeight="1">
      <c r="A22" s="48" t="inlineStr">
        <is>
          <t>Lane ↔ working teams</t>
        </is>
      </c>
      <c r="B22" s="49" t="inlineStr">
        <is>
          <t>Worked by (primary) — staffing, never ownership (col L stays the accountability; many-to-many): Learning Domains — Content domain teams + Pedagogy Experts (lesson-plan design, the in-classroom experience) + DA/DEs · Learning Platform — Product Managers + Engineering + DA/DEs · Product Learning Experience — CSI team + Product Managers + Pedagogy Experts (journey design) · Agentic Content Platform — Content–Central + DA/DEs · Developer Platform — Engineering · Shared/PMO — PMO. Program Ops, Instructors dept and Mentors are counterparties reached through asks (§7 / team-view Section C), not lane staff.</t>
        </is>
      </c>
    </row>
    <row r="23" ht="55" customHeight="1">
      <c r="A23" s="48" t="inlineStr">
        <is>
          <t>Domain product boundary</t>
        </is>
      </c>
      <c r="B23" s="49" t="inlineStr">
        <is>
          <t>Domain-specific product work — evaluation environments and domain-specific learning-platform capabilities, incl. domain-specific learner-facing AI tutors/agents — is raised and accepted by domain SMEs, built by Product Managers + Engineering, and its KPIs sit in the domain team's Section B under Domain Product Enablement (Learning Domains accountability). Generic/reusable capabilities rest with the Learning Platform lane, product-owned. ACP boundary: ACP = content-facing production pipelines · domain product work = learner-facing systems. Section-B-first: an org-tracker row waits until the environment registry sets a baseline.</t>
        </is>
      </c>
    </row>
    <row r="24" ht="120" customHeight="1">
      <c r="A24" s="48" t="inlineStr">
        <is>
          <t>Metric evolution (pre-agreed)</t>
        </is>
      </c>
      <c r="B24" s="49" t="inlineStr">
        <is>
          <t>Forward moves recorded so the sheet evolves without relitigating. (1) R&amp;D Initiative Impact — retired Aug 2026, absorbed by Agentic Production Coverage (org row, mirrored in FS &amp; CS Core Section A at 90) + the cost-per-item rows + Content Issue Recurrence; initiative counting is no longer a KPI anywhere. (2) Evaluation Environment Coverage + Domain Capability Delivery — at ~90% registry coverage or after two review cycles, the pair folds into one funnel KPI: raised → accepted → delivered rate + TAT, with capabilities-raised/quarter as a non-budgeted context line. (3) Pedagogy Initiative Impact — becomes Domain Learning-Value Uplift (ability/band improvement across the domain's courses per cycle, HE×HV machinery, semester/quarter windows) once per-course ability instruments are confirmed.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A78D6"/>
    <outlinePr summaryBelow="1" summaryRight="1"/>
    <pageSetUpPr/>
  </sheetPr>
  <dimension ref="A1:N25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15" t="inlineStr">
        <is>
          <t>CSI team — Functional Operating View · FY 2026-27</t>
        </is>
      </c>
    </row>
    <row r="2" ht="30" customHeight="1">
      <c r="A2" s="116" t="inlineStr">
        <is>
          <t>Curriculum Systems &amp; Infrastructure — Product Learning Experience lane.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17" t="inlineStr">
        <is>
          <t>S. No</t>
        </is>
      </c>
      <c r="B3" s="117" t="inlineStr">
        <is>
          <t>Sect</t>
        </is>
      </c>
      <c r="C3" s="117" t="inlineStr">
        <is>
          <t>Metric category</t>
        </is>
      </c>
      <c r="D3" s="117" t="inlineStr">
        <is>
          <t>Product</t>
        </is>
      </c>
      <c r="E3" s="117" t="inlineStr">
        <is>
          <t>Cohort</t>
        </is>
      </c>
      <c r="F3" s="117" t="inlineStr">
        <is>
          <t>KPI name</t>
        </is>
      </c>
      <c r="G3" s="117" t="inlineStr">
        <is>
          <t>Description</t>
        </is>
      </c>
      <c r="H3" s="117" t="inlineStr">
        <is>
          <t>Ladders to</t>
        </is>
      </c>
      <c r="I3" s="117" t="inlineStr">
        <is>
          <t>Unit</t>
        </is>
      </c>
      <c r="J3" s="117" t="inlineStr">
        <is>
          <t>Freq</t>
        </is>
      </c>
      <c r="K3" s="117" t="inlineStr">
        <is>
          <t>Budgeted</t>
        </is>
      </c>
      <c r="L3" s="117" t="inlineStr">
        <is>
          <t>Actual</t>
        </is>
      </c>
      <c r="M3" s="117" t="inlineStr">
        <is>
          <t>Variance</t>
        </is>
      </c>
      <c r="N3" s="117" t="inlineStr">
        <is>
          <t>Remarks</t>
        </is>
      </c>
    </row>
    <row r="4" ht="26" customHeight="1">
      <c r="A4" s="118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71" customHeight="1">
      <c r="A5" s="120" t="inlineStr">
        <is>
          <t>T1</t>
        </is>
      </c>
      <c r="B5" s="120" t="inlineStr">
        <is>
          <t>A</t>
        </is>
      </c>
      <c r="C5" s="121">
        <f>IF('KPI Tracker FY26-27'!C3="","",'KPI Tracker FY26-27'!C3)</f>
        <v/>
      </c>
      <c r="D5" s="120">
        <f>IF('KPI Tracker FY26-27'!D3="","",'KPI Tracker FY26-27'!D3)</f>
        <v/>
      </c>
      <c r="E5" s="120">
        <f>IF('KPI Tracker FY26-27'!E3="","",'KPI Tracker FY26-27'!E3)</f>
        <v/>
      </c>
      <c r="F5" s="122">
        <f>IF('KPI Tracker FY26-27'!G3="","",'KPI Tracker FY26-27'!G3)</f>
        <v/>
      </c>
      <c r="G5" s="121">
        <f>IF('KPI Tracker FY26-27'!H3="","",'KPI Tracker FY26-27'!H3)</f>
        <v/>
      </c>
      <c r="H5" s="121" t="inlineStr">
        <is>
          <t>inherited — via Functions (col K)</t>
        </is>
      </c>
      <c r="I5" s="120">
        <f>IF('KPI Tracker FY26-27'!M3="","",'KPI Tracker FY26-27'!M3)</f>
        <v/>
      </c>
      <c r="J5" s="120">
        <f>IF('KPI Tracker FY26-27'!N3="","",'KPI Tracker FY26-27'!N3)</f>
        <v/>
      </c>
      <c r="K5" s="120">
        <f>IF('KPI Tracker FY26-27'!O3="","",'KPI Tracker FY26-27'!O3)</f>
        <v/>
      </c>
      <c r="L5" s="120">
        <f>IF('KPI Tracker FY26-27'!P3="","",'KPI Tracker FY26-27'!P3)</f>
        <v/>
      </c>
      <c r="M5" s="120">
        <f>IF('KPI Tracker FY26-27'!Q3="","",'KPI Tracker FY26-27'!Q3)</f>
        <v/>
      </c>
      <c r="N5" s="121">
        <f>IF('KPI Tracker FY26-27'!R3="","",'KPI Tracker FY26-27'!R3)</f>
        <v/>
      </c>
    </row>
    <row r="6" ht="58" customHeight="1">
      <c r="A6" s="120" t="inlineStr">
        <is>
          <t>T21</t>
        </is>
      </c>
      <c r="B6" s="120" t="inlineStr">
        <is>
          <t>A</t>
        </is>
      </c>
      <c r="C6" s="121">
        <f>IF('KPI Tracker FY26-27'!C24="","",'KPI Tracker FY26-27'!C24)</f>
        <v/>
      </c>
      <c r="D6" s="120">
        <f>IF('KPI Tracker FY26-27'!D24="","",'KPI Tracker FY26-27'!D24)</f>
        <v/>
      </c>
      <c r="E6" s="120">
        <f>IF('KPI Tracker FY26-27'!E24="","",'KPI Tracker FY26-27'!E24)</f>
        <v/>
      </c>
      <c r="F6" s="122">
        <f>IF('KPI Tracker FY26-27'!G24="","",'KPI Tracker FY26-27'!G24)</f>
        <v/>
      </c>
      <c r="G6" s="121">
        <f>IF('KPI Tracker FY26-27'!H24="","",'KPI Tracker FY26-27'!H24)</f>
        <v/>
      </c>
      <c r="H6" s="121" t="inlineStr">
        <is>
          <t>inherited — via Functions (col K)</t>
        </is>
      </c>
      <c r="I6" s="120">
        <f>IF('KPI Tracker FY26-27'!M24="","",'KPI Tracker FY26-27'!M24)</f>
        <v/>
      </c>
      <c r="J6" s="120">
        <f>IF('KPI Tracker FY26-27'!N24="","",'KPI Tracker FY26-27'!N24)</f>
        <v/>
      </c>
      <c r="K6" s="120">
        <f>IF('KPI Tracker FY26-27'!O24="","",'KPI Tracker FY26-27'!O24)</f>
        <v/>
      </c>
      <c r="L6" s="120">
        <f>IF('KPI Tracker FY26-27'!P24="","",'KPI Tracker FY26-27'!P24)</f>
        <v/>
      </c>
      <c r="M6" s="120">
        <f>IF('KPI Tracker FY26-27'!Q24="","",'KPI Tracker FY26-27'!Q24)</f>
        <v/>
      </c>
      <c r="N6" s="121">
        <f>IF('KPI Tracker FY26-27'!R24="","",'KPI Tracker FY26-27'!R24)</f>
        <v/>
      </c>
    </row>
    <row r="7" ht="45" customHeight="1">
      <c r="A7" s="120" t="inlineStr">
        <is>
          <t>T22</t>
        </is>
      </c>
      <c r="B7" s="120" t="inlineStr">
        <is>
          <t>A</t>
        </is>
      </c>
      <c r="C7" s="121">
        <f>IF('KPI Tracker FY26-27'!C25="","",'KPI Tracker FY26-27'!C25)</f>
        <v/>
      </c>
      <c r="D7" s="120">
        <f>IF('KPI Tracker FY26-27'!D25="","",'KPI Tracker FY26-27'!D25)</f>
        <v/>
      </c>
      <c r="E7" s="120">
        <f>IF('KPI Tracker FY26-27'!E25="","",'KPI Tracker FY26-27'!E25)</f>
        <v/>
      </c>
      <c r="F7" s="122">
        <f>IF('KPI Tracker FY26-27'!G25="","",'KPI Tracker FY26-27'!G25)</f>
        <v/>
      </c>
      <c r="G7" s="121">
        <f>IF('KPI Tracker FY26-27'!H25="","",'KPI Tracker FY26-27'!H25)</f>
        <v/>
      </c>
      <c r="H7" s="121" t="inlineStr">
        <is>
          <t>inherited — via Functions (col K)</t>
        </is>
      </c>
      <c r="I7" s="120">
        <f>IF('KPI Tracker FY26-27'!M25="","",'KPI Tracker FY26-27'!M25)</f>
        <v/>
      </c>
      <c r="J7" s="120">
        <f>IF('KPI Tracker FY26-27'!N25="","",'KPI Tracker FY26-27'!N25)</f>
        <v/>
      </c>
      <c r="K7" s="120">
        <f>IF('KPI Tracker FY26-27'!O25="","",'KPI Tracker FY26-27'!O25)</f>
        <v/>
      </c>
      <c r="L7" s="120">
        <f>IF('KPI Tracker FY26-27'!P25="","",'KPI Tracker FY26-27'!P25)</f>
        <v/>
      </c>
      <c r="M7" s="120">
        <f>IF('KPI Tracker FY26-27'!Q25="","",'KPI Tracker FY26-27'!Q25)</f>
        <v/>
      </c>
      <c r="N7" s="121">
        <f>IF('KPI Tracker FY26-27'!R25="","",'KPI Tracker FY26-27'!R25)</f>
        <v/>
      </c>
    </row>
    <row r="8" ht="32" customHeight="1">
      <c r="A8" s="120" t="inlineStr">
        <is>
          <t>T23</t>
        </is>
      </c>
      <c r="B8" s="120" t="inlineStr">
        <is>
          <t>A</t>
        </is>
      </c>
      <c r="C8" s="121">
        <f>IF('KPI Tracker FY26-27'!C26="","",'KPI Tracker FY26-27'!C26)</f>
        <v/>
      </c>
      <c r="D8" s="120">
        <f>IF('KPI Tracker FY26-27'!D26="","",'KPI Tracker FY26-27'!D26)</f>
        <v/>
      </c>
      <c r="E8" s="120">
        <f>IF('KPI Tracker FY26-27'!E26="","",'KPI Tracker FY26-27'!E26)</f>
        <v/>
      </c>
      <c r="F8" s="122">
        <f>IF('KPI Tracker FY26-27'!G26="","",'KPI Tracker FY26-27'!G26)</f>
        <v/>
      </c>
      <c r="G8" s="121">
        <f>IF('KPI Tracker FY26-27'!H26="","",'KPI Tracker FY26-27'!H26)</f>
        <v/>
      </c>
      <c r="H8" s="121" t="inlineStr">
        <is>
          <t>inherited — via Functions (col K)</t>
        </is>
      </c>
      <c r="I8" s="120">
        <f>IF('KPI Tracker FY26-27'!M26="","",'KPI Tracker FY26-27'!M26)</f>
        <v/>
      </c>
      <c r="J8" s="120">
        <f>IF('KPI Tracker FY26-27'!N26="","",'KPI Tracker FY26-27'!N26)</f>
        <v/>
      </c>
      <c r="K8" s="120">
        <f>IF('KPI Tracker FY26-27'!O26="","",'KPI Tracker FY26-27'!O26)</f>
        <v/>
      </c>
      <c r="L8" s="120">
        <f>IF('KPI Tracker FY26-27'!P26="","",'KPI Tracker FY26-27'!P26)</f>
        <v/>
      </c>
      <c r="M8" s="120">
        <f>IF('KPI Tracker FY26-27'!Q26="","",'KPI Tracker FY26-27'!Q26)</f>
        <v/>
      </c>
      <c r="N8" s="121">
        <f>IF('KPI Tracker FY26-27'!R26="","",'KPI Tracker FY26-27'!R26)</f>
        <v/>
      </c>
    </row>
    <row r="9" ht="32" customHeight="1">
      <c r="A9" s="120" t="inlineStr">
        <is>
          <t>T24</t>
        </is>
      </c>
      <c r="B9" s="120" t="inlineStr">
        <is>
          <t>A</t>
        </is>
      </c>
      <c r="C9" s="121">
        <f>IF('KPI Tracker FY26-27'!C27="","",'KPI Tracker FY26-27'!C27)</f>
        <v/>
      </c>
      <c r="D9" s="120">
        <f>IF('KPI Tracker FY26-27'!D27="","",'KPI Tracker FY26-27'!D27)</f>
        <v/>
      </c>
      <c r="E9" s="120">
        <f>IF('KPI Tracker FY26-27'!E27="","",'KPI Tracker FY26-27'!E27)</f>
        <v/>
      </c>
      <c r="F9" s="122">
        <f>IF('KPI Tracker FY26-27'!G27="","",'KPI Tracker FY26-27'!G27)</f>
        <v/>
      </c>
      <c r="G9" s="121">
        <f>IF('KPI Tracker FY26-27'!H27="","",'KPI Tracker FY26-27'!H27)</f>
        <v/>
      </c>
      <c r="H9" s="121" t="inlineStr">
        <is>
          <t>inherited — via Functions (col K)</t>
        </is>
      </c>
      <c r="I9" s="120">
        <f>IF('KPI Tracker FY26-27'!M27="","",'KPI Tracker FY26-27'!M27)</f>
        <v/>
      </c>
      <c r="J9" s="120">
        <f>IF('KPI Tracker FY26-27'!N27="","",'KPI Tracker FY26-27'!N27)</f>
        <v/>
      </c>
      <c r="K9" s="120">
        <f>IF('KPI Tracker FY26-27'!O27="","",'KPI Tracker FY26-27'!O27)</f>
        <v/>
      </c>
      <c r="L9" s="120">
        <f>IF('KPI Tracker FY26-27'!P27="","",'KPI Tracker FY26-27'!P27)</f>
        <v/>
      </c>
      <c r="M9" s="120">
        <f>IF('KPI Tracker FY26-27'!Q27="","",'KPI Tracker FY26-27'!Q27)</f>
        <v/>
      </c>
      <c r="N9" s="121">
        <f>IF('KPI Tracker FY26-27'!R27="","",'KPI Tracker FY26-27'!R27)</f>
        <v/>
      </c>
    </row>
    <row r="10" ht="32" customHeight="1">
      <c r="A10" s="120" t="inlineStr">
        <is>
          <t>T25</t>
        </is>
      </c>
      <c r="B10" s="120" t="inlineStr">
        <is>
          <t>A</t>
        </is>
      </c>
      <c r="C10" s="121">
        <f>IF('KPI Tracker FY26-27'!C27="","",'KPI Tracker FY26-27'!C27)</f>
        <v/>
      </c>
      <c r="D10" s="120">
        <f>IF('KPI Tracker FY26-27'!D27="","",'KPI Tracker FY26-27'!D27)</f>
        <v/>
      </c>
      <c r="E10" s="120">
        <f>IF('KPI Tracker FY26-27'!E28="","",'KPI Tracker FY26-27'!E28)</f>
        <v/>
      </c>
      <c r="F10" s="122">
        <f>IF('KPI Tracker FY26-27'!G28="","",'KPI Tracker FY26-27'!G28)</f>
        <v/>
      </c>
      <c r="G10" s="121">
        <f>IF('KPI Tracker FY26-27'!H27="","",'KPI Tracker FY26-27'!H27)</f>
        <v/>
      </c>
      <c r="H10" s="121" t="inlineStr">
        <is>
          <t>inherited — via Functions (col K)</t>
        </is>
      </c>
      <c r="I10" s="120">
        <f>IF('KPI Tracker FY26-27'!M27="","",'KPI Tracker FY26-27'!M27)</f>
        <v/>
      </c>
      <c r="J10" s="120">
        <f>IF('KPI Tracker FY26-27'!N27="","",'KPI Tracker FY26-27'!N27)</f>
        <v/>
      </c>
      <c r="K10" s="120">
        <f>IF('KPI Tracker FY26-27'!O28="","",'KPI Tracker FY26-27'!O28)</f>
        <v/>
      </c>
      <c r="L10" s="120">
        <f>IF('KPI Tracker FY26-27'!P28="","",'KPI Tracker FY26-27'!P28)</f>
        <v/>
      </c>
      <c r="M10" s="120">
        <f>IF('KPI Tracker FY26-27'!Q28="","",'KPI Tracker FY26-27'!Q28)</f>
        <v/>
      </c>
      <c r="N10" s="121">
        <f>IF('KPI Tracker FY26-27'!R27="","",'KPI Tracker FY26-27'!R27)</f>
        <v/>
      </c>
    </row>
    <row r="11" ht="32" customHeight="1">
      <c r="A11" s="120" t="inlineStr">
        <is>
          <t>T26</t>
        </is>
      </c>
      <c r="B11" s="120" t="inlineStr">
        <is>
          <t>A</t>
        </is>
      </c>
      <c r="C11" s="121">
        <f>IF('KPI Tracker FY26-27'!C30="","",'KPI Tracker FY26-27'!C30)</f>
        <v/>
      </c>
      <c r="D11" s="120">
        <f>IF('KPI Tracker FY26-27'!D30="","",'KPI Tracker FY26-27'!D30)</f>
        <v/>
      </c>
      <c r="E11" s="120">
        <f>IF('KPI Tracker FY26-27'!E30="","",'KPI Tracker FY26-27'!E30)</f>
        <v/>
      </c>
      <c r="F11" s="122">
        <f>IF('KPI Tracker FY26-27'!G30="","",'KPI Tracker FY26-27'!G30)</f>
        <v/>
      </c>
      <c r="G11" s="121">
        <f>IF('KPI Tracker FY26-27'!H30="","",'KPI Tracker FY26-27'!H30)</f>
        <v/>
      </c>
      <c r="H11" s="121" t="inlineStr">
        <is>
          <t>inherited — via Functions (col K)</t>
        </is>
      </c>
      <c r="I11" s="120">
        <f>IF('KPI Tracker FY26-27'!M30="","",'KPI Tracker FY26-27'!M30)</f>
        <v/>
      </c>
      <c r="J11" s="120">
        <f>IF('KPI Tracker FY26-27'!N30="","",'KPI Tracker FY26-27'!N30)</f>
        <v/>
      </c>
      <c r="K11" s="120">
        <f>IF('KPI Tracker FY26-27'!O30="","",'KPI Tracker FY26-27'!O30)</f>
        <v/>
      </c>
      <c r="L11" s="120">
        <f>IF('KPI Tracker FY26-27'!P30="","",'KPI Tracker FY26-27'!P30)</f>
        <v/>
      </c>
      <c r="M11" s="120">
        <f>IF('KPI Tracker FY26-27'!Q30="","",'KPI Tracker FY26-27'!Q30)</f>
        <v/>
      </c>
      <c r="N11" s="121">
        <f>IF('KPI Tracker FY26-27'!R30="","",'KPI Tracker FY26-27'!R30)</f>
        <v/>
      </c>
    </row>
    <row r="12" ht="32" customHeight="1">
      <c r="A12" s="120" t="inlineStr">
        <is>
          <t>T27</t>
        </is>
      </c>
      <c r="B12" s="120" t="inlineStr">
        <is>
          <t>A</t>
        </is>
      </c>
      <c r="C12" s="121">
        <f>IF('KPI Tracker FY26-27'!C31="","",'KPI Tracker FY26-27'!C31)</f>
        <v/>
      </c>
      <c r="D12" s="120">
        <f>IF('KPI Tracker FY26-27'!D31="","",'KPI Tracker FY26-27'!D31)</f>
        <v/>
      </c>
      <c r="E12" s="120">
        <f>IF('KPI Tracker FY26-27'!E31="","",'KPI Tracker FY26-27'!E31)</f>
        <v/>
      </c>
      <c r="F12" s="122">
        <f>IF('KPI Tracker FY26-27'!G31="","",'KPI Tracker FY26-27'!G31)</f>
        <v/>
      </c>
      <c r="G12" s="121">
        <f>IF('KPI Tracker FY26-27'!H31="","",'KPI Tracker FY26-27'!H31)</f>
        <v/>
      </c>
      <c r="H12" s="121" t="inlineStr">
        <is>
          <t>inherited — via Functions (col K)</t>
        </is>
      </c>
      <c r="I12" s="120">
        <f>IF('KPI Tracker FY26-27'!M31="","",'KPI Tracker FY26-27'!M31)</f>
        <v/>
      </c>
      <c r="J12" s="120">
        <f>IF('KPI Tracker FY26-27'!N31="","",'KPI Tracker FY26-27'!N31)</f>
        <v/>
      </c>
      <c r="K12" s="120">
        <f>IF('KPI Tracker FY26-27'!O31="","",'KPI Tracker FY26-27'!O31)</f>
        <v/>
      </c>
      <c r="L12" s="120">
        <f>IF('KPI Tracker FY26-27'!P31="","",'KPI Tracker FY26-27'!P31)</f>
        <v/>
      </c>
      <c r="M12" s="120">
        <f>IF('KPI Tracker FY26-27'!Q31="","",'KPI Tracker FY26-27'!Q31)</f>
        <v/>
      </c>
      <c r="N12" s="121">
        <f>IF('KPI Tracker FY26-27'!R31="","",'KPI Tracker FY26-27'!R31)</f>
        <v/>
      </c>
    </row>
    <row r="13" ht="26" customHeight="1">
      <c r="A13" s="118" t="inlineStr">
        <is>
          <t>B — Owned: functional KPIs this team runs (budgets &amp; actuals live here) — Ladders-to key: direct = an org-KRA number · enabling = a dept §5 KPI · hygiene = guardrail by design</t>
        </is>
      </c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</row>
    <row r="14" ht="58" customHeight="1">
      <c r="A14" s="123" t="n">
        <v>1</v>
      </c>
      <c r="B14" s="123" t="inlineStr">
        <is>
          <t>B</t>
        </is>
      </c>
      <c r="C14" s="124" t="inlineStr">
        <is>
          <t>Content Efficiency</t>
        </is>
      </c>
      <c r="D14" s="123" t="inlineStr">
        <is>
          <t>NIAT</t>
        </is>
      </c>
      <c r="E14" s="123" t="inlineStr">
        <is>
          <t>All</t>
        </is>
      </c>
      <c r="F14" s="125" t="inlineStr">
        <is>
          <t>Cost per BOS Approval</t>
        </is>
      </c>
      <c r="G14" s="124" t="inlineStr">
        <is>
          <t>Average cost incurred per approved BOS across university partners. Includes CSI team payroll and non-payroll costs (travel, liaison activities) attributed to BOS approval work.</t>
        </is>
      </c>
      <c r="H14" s="124" t="inlineStr">
        <is>
          <t>enabling → dept Cost per BOS Approval (§5 Content Efficiency) — the economics of the KRA-3 BOS engine</t>
        </is>
      </c>
      <c r="I14" s="123" t="inlineStr">
        <is>
          <t>INR</t>
        </is>
      </c>
      <c r="J14" s="123" t="inlineStr">
        <is>
          <t>Quarterly</t>
        </is>
      </c>
      <c r="K14" s="123" t="n"/>
      <c r="L14" s="123" t="n"/>
      <c r="M14" s="126">
        <f>IF(AND(ISNUMBER(K14),ISNUMBER(L14)),K14-L14,"")</f>
        <v/>
      </c>
      <c r="N14" s="124" t="inlineStr">
        <is>
          <t>Q1 ref: B ₹14,040 (quarterly).</t>
        </is>
      </c>
    </row>
    <row r="15" ht="58" customHeight="1">
      <c r="A15" s="123" t="n">
        <v>2</v>
      </c>
      <c r="B15" s="123" t="inlineStr">
        <is>
          <t>B</t>
        </is>
      </c>
      <c r="C15" s="124" t="inlineStr">
        <is>
          <t>Content Efficiency</t>
        </is>
      </c>
      <c r="D15" s="123" t="inlineStr">
        <is>
          <t>NIAT + Academy</t>
        </is>
      </c>
      <c r="E15" s="123" t="inlineStr">
        <is>
          <t>All</t>
        </is>
      </c>
      <c r="F15" s="125" t="inlineStr">
        <is>
          <t>Cost per Vernacular Content Hour</t>
        </is>
      </c>
      <c r="G15" s="124" t="inlineStr">
        <is>
          <t>Average cost to produce one hour of vernacular-language content, tracked centrally by the CSI team. Includes CSI payroll and AI tooling costs attributed to vernacular production.</t>
        </is>
      </c>
      <c r="H15" s="124" t="inlineStr">
        <is>
          <t>enabling → dept Cost per Vernacular Content Hour (§5 Content Efficiency) — central track; FS&amp;CS Core carries the production-side twin</t>
        </is>
      </c>
      <c r="I15" s="123" t="inlineStr">
        <is>
          <t>INR</t>
        </is>
      </c>
      <c r="J15" s="123" t="inlineStr">
        <is>
          <t>Monthly</t>
        </is>
      </c>
      <c r="K15" s="123" t="n"/>
      <c r="L15" s="123" t="n"/>
      <c r="M15" s="126">
        <f>IF(AND(ISNUMBER(K15),ISNUMBER(L15)),K15-L15,"")</f>
        <v/>
      </c>
      <c r="N15" s="124" t="inlineStr"/>
    </row>
    <row r="16" ht="92" customHeight="1">
      <c r="A16" s="123" t="n">
        <v>3</v>
      </c>
      <c r="B16" s="123" t="inlineStr">
        <is>
          <t>B</t>
        </is>
      </c>
      <c r="C16" s="124" t="inlineStr">
        <is>
          <t>Team Ops &amp; People</t>
        </is>
      </c>
      <c r="D16" s="123" t="inlineStr">
        <is>
          <t>All</t>
        </is>
      </c>
      <c r="E16" s="123" t="inlineStr">
        <is>
          <t>All</t>
        </is>
      </c>
      <c r="F16" s="125" t="inlineStr">
        <is>
          <t>Cost of Operations</t>
        </is>
      </c>
      <c r="G16" s="124" t="inlineStr">
        <is>
          <t>Monthly cost of running the team's operating rhythm: manager–reportee one-on-ones, roadmap reviews (Head-approved), standups &amp; learning hours, monthly check-in scheduling &amp; documentation, team assets (laptops, systems), ClickUp adoption &amp; status freshness, worklog capture, newsletters, team outings and cycle-wise appraisals — plus operational-efficiency and market-analysis work. Worklog capture is the load-bearing activity: it is what makes deliverable costing computable.</t>
        </is>
      </c>
      <c r="H16" s="124" t="inlineStr">
        <is>
          <t>hygiene — team run-cost guardrail; no org ladder by design</t>
        </is>
      </c>
      <c r="I16" s="123" t="inlineStr">
        <is>
          <t>INR</t>
        </is>
      </c>
      <c r="J16" s="123" t="inlineStr">
        <is>
          <t>Monthly</t>
        </is>
      </c>
      <c r="K16" s="123" t="n"/>
      <c r="L16" s="123" t="n"/>
      <c r="M16" s="126">
        <f>IF(AND(ISNUMBER(K16),ISNUMBER(L16)),K16-L16,"")</f>
        <v/>
      </c>
      <c r="N16" s="124" t="inlineStr">
        <is>
          <t>Full ops register (so nothing is forgotten): monthly manager–reportee one-on-ones · scheduling roadmap review meetings + Head approval · day-to-day ops (standups, learning hours) · scheduling monthly check-in meets &amp; documenting them in the right place · maintaining team assets (laptops, systems) · ensuring ClickUp adoption · keeping deliverable statuses up to date · monthly worklog capture → deliverable costs computed for the check-in · generating newsletters monthly · conducting team outings · conducting cycle-wise appraisal meetings. Replaces Operations &amp; Growth Cost (no baseline yet) — worklog capture builds the first read. Sub-metrics per activity (one-on-one coverage, status freshness…) get added as reads emerge. Run by the team's PM (reports to the Lead; KPI cascades Lead → PM).</t>
        </is>
      </c>
    </row>
    <row r="17" ht="58" customHeight="1">
      <c r="A17" s="123" t="n">
        <v>4</v>
      </c>
      <c r="B17" s="123" t="inlineStr">
        <is>
          <t>B</t>
        </is>
      </c>
      <c r="C17" s="124" t="inlineStr">
        <is>
          <t>Team Ops &amp; People</t>
        </is>
      </c>
      <c r="D17" s="123" t="inlineStr">
        <is>
          <t>All</t>
        </is>
      </c>
      <c r="E17" s="123" t="inlineStr">
        <is>
          <t>All</t>
        </is>
      </c>
      <c r="F17" s="125" t="inlineStr">
        <is>
          <t>Roadmap Items Completion</t>
        </is>
      </c>
      <c r="G17" s="124" t="inlineStr">
        <is>
          <t>Of the roadmap items committed for the cycle — reviewed in the roadmap meetings the PM schedules and approved by the Head — the % completed. The execution-predictability read for the team's own plan.</t>
        </is>
      </c>
      <c r="H17" s="124" t="inlineStr">
        <is>
          <t>hygiene — execution-predictability guardrail; no org ladder by design</t>
        </is>
      </c>
      <c r="I17" s="123" t="inlineStr">
        <is>
          <t>%</t>
        </is>
      </c>
      <c r="J17" s="123" t="inlineStr">
        <is>
          <t>Monthly</t>
        </is>
      </c>
      <c r="K17" s="123" t="n"/>
      <c r="L17" s="123" t="n"/>
      <c r="M17" s="126">
        <f>IF(AND(ISNUMBER(K17),ISNUMBER(L17)),K17-L17,"")</f>
        <v/>
      </c>
      <c r="N17" s="124" t="inlineStr">
        <is>
          <t>Cycle-anchored: the commitment is the Head-approved cycle roadmap; the % is read monthly as items land. Run by the team's PM.</t>
        </is>
      </c>
    </row>
    <row r="18" ht="45" customHeight="1">
      <c r="A18" s="123" t="n">
        <v>5</v>
      </c>
      <c r="B18" s="123" t="inlineStr">
        <is>
          <t>B</t>
        </is>
      </c>
      <c r="C18" s="124" t="inlineStr">
        <is>
          <t>Team Ops &amp; People</t>
        </is>
      </c>
      <c r="D18" s="123" t="inlineStr">
        <is>
          <t>All</t>
        </is>
      </c>
      <c r="E18" s="123" t="inlineStr">
        <is>
          <t>All</t>
        </is>
      </c>
      <c r="F18" s="125" t="inlineStr">
        <is>
          <t>Hires Made</t>
        </is>
      </c>
      <c r="G18" s="124" t="inlineStr">
        <is>
          <t>Offers joined against the team's approved hiring plan for the period. Reads whether the team is growing at the planned pace.</t>
        </is>
      </c>
      <c r="H18" s="124" t="inlineStr">
        <is>
          <t>hygiene — hiring-plan guardrail; no org ladder by design</t>
        </is>
      </c>
      <c r="I18" s="123" t="inlineStr">
        <is>
          <t>Count</t>
        </is>
      </c>
      <c r="J18" s="123" t="inlineStr">
        <is>
          <t>Monthly</t>
        </is>
      </c>
      <c r="K18" s="123" t="n"/>
      <c r="L18" s="123" t="n"/>
      <c r="M18" s="126">
        <f>IF(AND(ISNUMBER(K18),ISNUMBER(L18)),K18-L18,"")</f>
        <v/>
      </c>
      <c r="N18" s="124" t="inlineStr">
        <is>
          <t>Budget = the approved hiring plan. Run by the team's PM; hiring decisions stay with the Lead.</t>
        </is>
      </c>
    </row>
    <row r="19" ht="45" customHeight="1">
      <c r="A19" s="123" t="n">
        <v>6</v>
      </c>
      <c r="B19" s="123" t="inlineStr">
        <is>
          <t>B</t>
        </is>
      </c>
      <c r="C19" s="124" t="inlineStr">
        <is>
          <t>Team Ops &amp; People</t>
        </is>
      </c>
      <c r="D19" s="123" t="inlineStr">
        <is>
          <t>All</t>
        </is>
      </c>
      <c r="E19" s="123" t="inlineStr">
        <is>
          <t>All</t>
        </is>
      </c>
      <c r="F19" s="125" t="inlineStr">
        <is>
          <t>Cost per Hire</t>
        </is>
      </c>
      <c r="G19" s="124" t="inlineStr">
        <is>
          <t>Average cost per closed hire — sourcing, interview bandwidth and onboarding effort attributed to hiring for this team.</t>
        </is>
      </c>
      <c r="H19" s="124" t="inlineStr">
        <is>
          <t>hygiene — hiring-efficiency guardrail; no org ladder by design</t>
        </is>
      </c>
      <c r="I19" s="123" t="inlineStr">
        <is>
          <t>INR</t>
        </is>
      </c>
      <c r="J19" s="123" t="inlineStr">
        <is>
          <t>Monthly</t>
        </is>
      </c>
      <c r="K19" s="123" t="n"/>
      <c r="L19" s="123" t="n"/>
      <c r="M19" s="126">
        <f>IF(AND(ISNUMBER(K19),ISNUMBER(L19)),K19-L19,"")</f>
        <v/>
      </c>
      <c r="N19" s="124" t="inlineStr">
        <is>
          <t>Hiring cost split out of the old Operations &amp; Growth Cost row — worklogs attribute the interview bandwidth. Run by the team's PM.</t>
        </is>
      </c>
    </row>
    <row r="20" ht="71" customHeight="1">
      <c r="A20" s="123" t="n">
        <v>7</v>
      </c>
      <c r="B20" s="123" t="inlineStr">
        <is>
          <t>B</t>
        </is>
      </c>
      <c r="C20" s="124" t="inlineStr">
        <is>
          <t>Team Ops &amp; People</t>
        </is>
      </c>
      <c r="D20" s="123" t="inlineStr">
        <is>
          <t>All</t>
        </is>
      </c>
      <c r="E20" s="123" t="inlineStr">
        <is>
          <t>All</t>
        </is>
      </c>
      <c r="F20" s="125" t="inlineStr">
        <is>
          <t>Team Retention Rate</t>
        </is>
      </c>
      <c r="G20" s="124" t="inlineStr">
        <is>
          <t>% of cycle-start team members still on the team at the appraisal cycle's end, on a trailing 12-month window. Internal transfers don't count against the team; regrettable exits are flagged by the Lead in the remark.</t>
        </is>
      </c>
      <c r="H20" s="124" t="inlineStr">
        <is>
          <t>hygiene — team-health guardrail; no org ladder by design</t>
        </is>
      </c>
      <c r="I20" s="123" t="inlineStr">
        <is>
          <t>%</t>
        </is>
      </c>
      <c r="J20" s="123" t="inlineStr">
        <is>
          <t>Per appraisal cycle</t>
        </is>
      </c>
      <c r="K20" s="123" t="n"/>
      <c r="L20" s="123" t="n"/>
      <c r="M20" s="126">
        <f>IF(AND(ISNUMBER(K20),ISNUMBER(L20)),K20-L20,"")</f>
        <v/>
      </c>
      <c r="N20" s="124" t="inlineStr">
        <is>
          <t>Trailing 12 months smooths small-team noise (one exit is a big % swing). Lead-driven outcome; the PM carries the machinery and the number.</t>
        </is>
      </c>
    </row>
    <row r="21" ht="45" customHeight="1">
      <c r="A21" s="123" t="n">
        <v>8</v>
      </c>
      <c r="B21" s="123" t="inlineStr">
        <is>
          <t>B</t>
        </is>
      </c>
      <c r="C21" s="124" t="inlineStr">
        <is>
          <t>Team Ops &amp; People</t>
        </is>
      </c>
      <c r="D21" s="123" t="inlineStr">
        <is>
          <t>All</t>
        </is>
      </c>
      <c r="E21" s="123" t="inlineStr">
        <is>
          <t>All</t>
        </is>
      </c>
      <c r="F21" s="125" t="inlineStr">
        <is>
          <t>Power Performers Created</t>
        </is>
      </c>
      <c r="G21" s="124" t="inlineStr">
        <is>
          <t>Team members newly reaching the top appraisal band in the cycle-wise appraisal. The direct metric for 'developing the best (mentoring subordinates)'.</t>
        </is>
      </c>
      <c r="H21" s="124" t="inlineStr">
        <is>
          <t>enabling → the §5 'developing the best (mentoring subordinates)' intent — its first direct metric</t>
        </is>
      </c>
      <c r="I21" s="123" t="inlineStr">
        <is>
          <t>Count</t>
        </is>
      </c>
      <c r="J21" s="123" t="inlineStr">
        <is>
          <t>Per appraisal cycle</t>
        </is>
      </c>
      <c r="K21" s="123" t="n"/>
      <c r="L21" s="123" t="n"/>
      <c r="M21" s="126">
        <f>IF(AND(ISNUMBER(K21),ISNUMBER(L21)),K21-L21,"")</f>
        <v/>
      </c>
      <c r="N21" s="124" t="inlineStr">
        <is>
          <t>Top band per the cycle-wise appraisal; mentoring by managers and the Lead is the driver. Lead-driven outcome; the PM runs the appraisal machinery and carries the number.</t>
        </is>
      </c>
    </row>
    <row r="22" ht="26" customHeight="1">
      <c r="A22" s="118" t="inlineStr">
        <is>
          <t>C — Asks: what this team needs from counterparties (thin interface contracts — reviewed monthly)</t>
        </is>
      </c>
      <c r="B22" s="119" t="n"/>
      <c r="C22" s="119" t="n"/>
      <c r="D22" s="119" t="n"/>
      <c r="E22" s="119" t="n"/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</row>
    <row r="23" ht="40" customHeight="1">
      <c r="A23" s="120" t="n">
        <v>1</v>
      </c>
      <c r="B23" s="120" t="inlineStr">
        <is>
          <t>C</t>
        </is>
      </c>
      <c r="C23" s="121" t="inlineStr">
        <is>
          <t>Program Ops</t>
        </is>
      </c>
      <c r="D23" s="120" t="n"/>
      <c r="E23" s="120" t="n"/>
      <c r="F23" s="122" t="inlineStr">
        <is>
          <t>Conduction adherence</t>
        </is>
      </c>
      <c r="G23" s="121" t="inlineStr">
        <is>
          <t>Zero schedule deviation on lectures / quizzes / assessments + attendance drive — feeds Program Delivery Gap &amp; Journey Step Health (§7 ask; exact thresholds pending).</t>
        </is>
      </c>
      <c r="H23" s="121" t="n"/>
      <c r="I23" s="120" t="n"/>
      <c r="J23" s="120" t="n"/>
      <c r="K23" s="120" t="n"/>
      <c r="L23" s="120" t="n"/>
      <c r="M23" s="120" t="n"/>
      <c r="N23" s="121" t="n"/>
    </row>
    <row r="24" ht="40" customHeight="1">
      <c r="A24" s="120" t="n">
        <v>2</v>
      </c>
      <c r="B24" s="120" t="inlineStr">
        <is>
          <t>C</t>
        </is>
      </c>
      <c r="C24" s="121" t="inlineStr">
        <is>
          <t>Instructors dept</t>
        </is>
      </c>
      <c r="D24" s="120" t="n"/>
      <c r="E24" s="120" t="n"/>
      <c r="F24" s="122" t="inlineStr">
        <is>
          <t>Learning-assets SLA</t>
        </is>
      </c>
      <c r="G24" s="121" t="inlineStr">
        <is>
          <t>PPT + recorded video ready &amp; loaded ≥1 month ahead of delivery — feeds the assets leg of Program Delivery Gap.</t>
        </is>
      </c>
      <c r="H24" s="121" t="n"/>
      <c r="I24" s="120" t="n"/>
      <c r="J24" s="120" t="n"/>
      <c r="K24" s="120" t="n"/>
      <c r="L24" s="120" t="n"/>
      <c r="M24" s="120" t="n"/>
      <c r="N24" s="121" t="n"/>
    </row>
    <row r="25" ht="40" customHeight="1">
      <c r="A25" s="120" t="n">
        <v>3</v>
      </c>
      <c r="B25" s="120" t="inlineStr">
        <is>
          <t>C</t>
        </is>
      </c>
      <c r="C25" s="121" t="inlineStr">
        <is>
          <t>Univ Relations</t>
        </is>
      </c>
      <c r="D25" s="120" t="n"/>
      <c r="E25" s="120" t="n"/>
      <c r="F25" s="122" t="inlineStr">
        <is>
          <t>University response windows</t>
        </is>
      </c>
      <c r="G25" s="121" t="inlineStr">
        <is>
          <t>BOS meeting windows + response SLAs on university communications — feeds BOS Credit Acceptance &amp; University Communication TAT.</t>
        </is>
      </c>
      <c r="H25" s="121" t="n"/>
      <c r="I25" s="120" t="n"/>
      <c r="J25" s="120" t="n"/>
      <c r="K25" s="120" t="n"/>
      <c r="L25" s="120" t="n"/>
      <c r="M25" s="120" t="n"/>
      <c r="N25" s="121" t="n"/>
    </row>
  </sheetData>
  <mergeCells count="8">
    <mergeCell ref="A22:N22"/>
    <mergeCell ref="A4:N4"/>
    <mergeCell ref="A2:N2"/>
    <mergeCell ref="G25:N25"/>
    <mergeCell ref="G24:N24"/>
    <mergeCell ref="A13:N13"/>
    <mergeCell ref="G23:N23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BAF7A"/>
    <outlinePr summaryBelow="1" summaryRight="1"/>
    <pageSetUpPr/>
  </sheetPr>
  <dimension ref="A1:N58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27" t="inlineStr">
        <is>
          <t>FullStack &amp; CS Core — Functional Operating View · FY 2026-27</t>
        </is>
      </c>
    </row>
    <row r="2" ht="30" customHeight="1">
      <c r="A2" s="116" t="inlineStr">
        <is>
          <t>Learning Domains lane — Content function.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28" t="inlineStr">
        <is>
          <t>S. No</t>
        </is>
      </c>
      <c r="B3" s="128" t="inlineStr">
        <is>
          <t>Sect</t>
        </is>
      </c>
      <c r="C3" s="128" t="inlineStr">
        <is>
          <t>Metric category</t>
        </is>
      </c>
      <c r="D3" s="128" t="inlineStr">
        <is>
          <t>Product</t>
        </is>
      </c>
      <c r="E3" s="128" t="inlineStr">
        <is>
          <t>Cohort</t>
        </is>
      </c>
      <c r="F3" s="128" t="inlineStr">
        <is>
          <t>KPI name</t>
        </is>
      </c>
      <c r="G3" s="128" t="inlineStr">
        <is>
          <t>Description</t>
        </is>
      </c>
      <c r="H3" s="128" t="inlineStr">
        <is>
          <t>Ladders to</t>
        </is>
      </c>
      <c r="I3" s="128" t="inlineStr">
        <is>
          <t>Unit</t>
        </is>
      </c>
      <c r="J3" s="128" t="inlineStr">
        <is>
          <t>Freq</t>
        </is>
      </c>
      <c r="K3" s="128" t="inlineStr">
        <is>
          <t>Budgeted</t>
        </is>
      </c>
      <c r="L3" s="128" t="inlineStr">
        <is>
          <t>Actual</t>
        </is>
      </c>
      <c r="M3" s="128" t="inlineStr">
        <is>
          <t>Variance</t>
        </is>
      </c>
      <c r="N3" s="128" t="inlineStr">
        <is>
          <t>Remarks</t>
        </is>
      </c>
    </row>
    <row r="4" ht="26" customHeight="1">
      <c r="A4" s="12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32" customHeight="1">
      <c r="A5" s="130" t="inlineStr">
        <is>
          <t>T2</t>
        </is>
      </c>
      <c r="B5" s="130" t="inlineStr">
        <is>
          <t>A</t>
        </is>
      </c>
      <c r="C5" s="131">
        <f>IF('KPI Tracker FY26-27'!C4="","",'KPI Tracker FY26-27'!C4)</f>
        <v/>
      </c>
      <c r="D5" s="130">
        <f>IF('KPI Tracker FY26-27'!D4="","",'KPI Tracker FY26-27'!D4)</f>
        <v/>
      </c>
      <c r="E5" s="130">
        <f>IF('KPI Tracker FY26-27'!E4="","",'KPI Tracker FY26-27'!E4)</f>
        <v/>
      </c>
      <c r="F5" s="132">
        <f>IF('KPI Tracker FY26-27'!G4="","",'KPI Tracker FY26-27'!G4)</f>
        <v/>
      </c>
      <c r="G5" s="131">
        <f>IF('KPI Tracker FY26-27'!H4="","",'KPI Tracker FY26-27'!H4)</f>
        <v/>
      </c>
      <c r="H5" s="131" t="inlineStr">
        <is>
          <t>inherited — via Functions (col K)</t>
        </is>
      </c>
      <c r="I5" s="130">
        <f>IF('KPI Tracker FY26-27'!M4="","",'KPI Tracker FY26-27'!M4)</f>
        <v/>
      </c>
      <c r="J5" s="130">
        <f>IF('KPI Tracker FY26-27'!N4="","",'KPI Tracker FY26-27'!N4)</f>
        <v/>
      </c>
      <c r="K5" s="130">
        <f>IF('KPI Tracker FY26-27'!O4="","",'KPI Tracker FY26-27'!O4)</f>
        <v/>
      </c>
      <c r="L5" s="130">
        <f>IF('KPI Tracker FY26-27'!P4="","",'KPI Tracker FY26-27'!P4)</f>
        <v/>
      </c>
      <c r="M5" s="130">
        <f>IF('KPI Tracker FY26-27'!Q4="","",'KPI Tracker FY26-27'!Q4)</f>
        <v/>
      </c>
      <c r="N5" s="131">
        <f>IF('KPI Tracker FY26-27'!R4="","",'KPI Tracker FY26-27'!R4)</f>
        <v/>
      </c>
    </row>
    <row r="6" ht="32" customHeight="1">
      <c r="A6" s="130" t="inlineStr">
        <is>
          <t>T3</t>
        </is>
      </c>
      <c r="B6" s="130" t="inlineStr">
        <is>
          <t>A</t>
        </is>
      </c>
      <c r="C6" s="131">
        <f>IF('KPI Tracker FY26-27'!C4="","",'KPI Tracker FY26-27'!C4)</f>
        <v/>
      </c>
      <c r="D6" s="130">
        <f>IF('KPI Tracker FY26-27'!D4="","",'KPI Tracker FY26-27'!D4)</f>
        <v/>
      </c>
      <c r="E6" s="130">
        <f>IF('KPI Tracker FY26-27'!E4="","",'KPI Tracker FY26-27'!E4)</f>
        <v/>
      </c>
      <c r="F6" s="132">
        <f>IF('KPI Tracker FY26-27'!G5="","",'KPI Tracker FY26-27'!G5)</f>
        <v/>
      </c>
      <c r="G6" s="131">
        <f>IF('KPI Tracker FY26-27'!H4="","",'KPI Tracker FY26-27'!H4)</f>
        <v/>
      </c>
      <c r="H6" s="131" t="inlineStr">
        <is>
          <t>inherited — via Functions (col K)</t>
        </is>
      </c>
      <c r="I6" s="130">
        <f>IF('KPI Tracker FY26-27'!M4="","",'KPI Tracker FY26-27'!M4)</f>
        <v/>
      </c>
      <c r="J6" s="130">
        <f>IF('KPI Tracker FY26-27'!N4="","",'KPI Tracker FY26-27'!N4)</f>
        <v/>
      </c>
      <c r="K6" s="130">
        <f>IF('KPI Tracker FY26-27'!O5="","",'KPI Tracker FY26-27'!O5)</f>
        <v/>
      </c>
      <c r="L6" s="130">
        <f>IF('KPI Tracker FY26-27'!P5="","",'KPI Tracker FY26-27'!P5)</f>
        <v/>
      </c>
      <c r="M6" s="130">
        <f>IF('KPI Tracker FY26-27'!Q5="","",'KPI Tracker FY26-27'!Q5)</f>
        <v/>
      </c>
      <c r="N6" s="131">
        <f>IF('KPI Tracker FY26-27'!R4="","",'KPI Tracker FY26-27'!R4)</f>
        <v/>
      </c>
    </row>
    <row r="7" ht="32" customHeight="1">
      <c r="A7" s="130" t="inlineStr">
        <is>
          <t>T4</t>
        </is>
      </c>
      <c r="B7" s="130" t="inlineStr">
        <is>
          <t>A</t>
        </is>
      </c>
      <c r="C7" s="131">
        <f>IF('KPI Tracker FY26-27'!C4="","",'KPI Tracker FY26-27'!C4)</f>
        <v/>
      </c>
      <c r="D7" s="130">
        <f>IF('KPI Tracker FY26-27'!D4="","",'KPI Tracker FY26-27'!D4)</f>
        <v/>
      </c>
      <c r="E7" s="130">
        <f>IF('KPI Tracker FY26-27'!E4="","",'KPI Tracker FY26-27'!E4)</f>
        <v/>
      </c>
      <c r="F7" s="132">
        <f>IF('KPI Tracker FY26-27'!G6="","",'KPI Tracker FY26-27'!G6)</f>
        <v/>
      </c>
      <c r="G7" s="131">
        <f>IF('KPI Tracker FY26-27'!H4="","",'KPI Tracker FY26-27'!H4)</f>
        <v/>
      </c>
      <c r="H7" s="131" t="inlineStr">
        <is>
          <t>inherited — via Functions (col K)</t>
        </is>
      </c>
      <c r="I7" s="130">
        <f>IF('KPI Tracker FY26-27'!M4="","",'KPI Tracker FY26-27'!M4)</f>
        <v/>
      </c>
      <c r="J7" s="130">
        <f>IF('KPI Tracker FY26-27'!N4="","",'KPI Tracker FY26-27'!N4)</f>
        <v/>
      </c>
      <c r="K7" s="130">
        <f>IF('KPI Tracker FY26-27'!O6="","",'KPI Tracker FY26-27'!O6)</f>
        <v/>
      </c>
      <c r="L7" s="130">
        <f>IF('KPI Tracker FY26-27'!P6="","",'KPI Tracker FY26-27'!P6)</f>
        <v/>
      </c>
      <c r="M7" s="130">
        <f>IF('KPI Tracker FY26-27'!Q6="","",'KPI Tracker FY26-27'!Q6)</f>
        <v/>
      </c>
      <c r="N7" s="131">
        <f>IF('KPI Tracker FY26-27'!R4="","",'KPI Tracker FY26-27'!R4)</f>
        <v/>
      </c>
    </row>
    <row r="8" ht="32" customHeight="1">
      <c r="A8" s="130" t="inlineStr">
        <is>
          <t>T5</t>
        </is>
      </c>
      <c r="B8" s="130" t="inlineStr">
        <is>
          <t>A</t>
        </is>
      </c>
      <c r="C8" s="131">
        <f>IF('KPI Tracker FY26-27'!C4="","",'KPI Tracker FY26-27'!C4)</f>
        <v/>
      </c>
      <c r="D8" s="130">
        <f>IF('KPI Tracker FY26-27'!D4="","",'KPI Tracker FY26-27'!D4)</f>
        <v/>
      </c>
      <c r="E8" s="130">
        <f>IF('KPI Tracker FY26-27'!E4="","",'KPI Tracker FY26-27'!E4)</f>
        <v/>
      </c>
      <c r="F8" s="132">
        <f>IF('KPI Tracker FY26-27'!G7="","",'KPI Tracker FY26-27'!G7)</f>
        <v/>
      </c>
      <c r="G8" s="131">
        <f>IF('KPI Tracker FY26-27'!H4="","",'KPI Tracker FY26-27'!H4)</f>
        <v/>
      </c>
      <c r="H8" s="131" t="inlineStr">
        <is>
          <t>inherited — via Functions (col K)</t>
        </is>
      </c>
      <c r="I8" s="130">
        <f>IF('KPI Tracker FY26-27'!M4="","",'KPI Tracker FY26-27'!M4)</f>
        <v/>
      </c>
      <c r="J8" s="130">
        <f>IF('KPI Tracker FY26-27'!N4="","",'KPI Tracker FY26-27'!N4)</f>
        <v/>
      </c>
      <c r="K8" s="130">
        <f>IF('KPI Tracker FY26-27'!O7="","",'KPI Tracker FY26-27'!O7)</f>
        <v/>
      </c>
      <c r="L8" s="130">
        <f>IF('KPI Tracker FY26-27'!P7="","",'KPI Tracker FY26-27'!P7)</f>
        <v/>
      </c>
      <c r="M8" s="130">
        <f>IF('KPI Tracker FY26-27'!Q7="","",'KPI Tracker FY26-27'!Q7)</f>
        <v/>
      </c>
      <c r="N8" s="131">
        <f>IF('KPI Tracker FY26-27'!R4="","",'KPI Tracker FY26-27'!R4)</f>
        <v/>
      </c>
    </row>
    <row r="9" ht="32" customHeight="1">
      <c r="A9" s="130" t="inlineStr">
        <is>
          <t>T6</t>
        </is>
      </c>
      <c r="B9" s="130" t="inlineStr">
        <is>
          <t>A</t>
        </is>
      </c>
      <c r="C9" s="131">
        <f>IF('KPI Tracker FY26-27'!C4="","",'KPI Tracker FY26-27'!C4)</f>
        <v/>
      </c>
      <c r="D9" s="130">
        <f>IF('KPI Tracker FY26-27'!D4="","",'KPI Tracker FY26-27'!D4)</f>
        <v/>
      </c>
      <c r="E9" s="130">
        <f>IF('KPI Tracker FY26-27'!E8="","",'KPI Tracker FY26-27'!E8)</f>
        <v/>
      </c>
      <c r="F9" s="132">
        <f>IF('KPI Tracker FY26-27'!G8="","",'KPI Tracker FY26-27'!G8)</f>
        <v/>
      </c>
      <c r="G9" s="131">
        <f>IF('KPI Tracker FY26-27'!H4="","",'KPI Tracker FY26-27'!H4)</f>
        <v/>
      </c>
      <c r="H9" s="131" t="inlineStr">
        <is>
          <t>inherited — via Functions (col K)</t>
        </is>
      </c>
      <c r="I9" s="130">
        <f>IF('KPI Tracker FY26-27'!M4="","",'KPI Tracker FY26-27'!M4)</f>
        <v/>
      </c>
      <c r="J9" s="130">
        <f>IF('KPI Tracker FY26-27'!N4="","",'KPI Tracker FY26-27'!N4)</f>
        <v/>
      </c>
      <c r="K9" s="130">
        <f>IF('KPI Tracker FY26-27'!O8="","",'KPI Tracker FY26-27'!O8)</f>
        <v/>
      </c>
      <c r="L9" s="130">
        <f>IF('KPI Tracker FY26-27'!P8="","",'KPI Tracker FY26-27'!P8)</f>
        <v/>
      </c>
      <c r="M9" s="130">
        <f>IF('KPI Tracker FY26-27'!Q8="","",'KPI Tracker FY26-27'!Q8)</f>
        <v/>
      </c>
      <c r="N9" s="131">
        <f>IF('KPI Tracker FY26-27'!R4="","",'KPI Tracker FY26-27'!R4)</f>
        <v/>
      </c>
    </row>
    <row r="10" ht="32" customHeight="1">
      <c r="A10" s="130" t="inlineStr">
        <is>
          <t>T7</t>
        </is>
      </c>
      <c r="B10" s="130" t="inlineStr">
        <is>
          <t>A</t>
        </is>
      </c>
      <c r="C10" s="131">
        <f>IF('KPI Tracker FY26-27'!C4="","",'KPI Tracker FY26-27'!C4)</f>
        <v/>
      </c>
      <c r="D10" s="130">
        <f>IF('KPI Tracker FY26-27'!D4="","",'KPI Tracker FY26-27'!D4)</f>
        <v/>
      </c>
      <c r="E10" s="130">
        <f>IF('KPI Tracker FY26-27'!E8="","",'KPI Tracker FY26-27'!E8)</f>
        <v/>
      </c>
      <c r="F10" s="132">
        <f>IF('KPI Tracker FY26-27'!G9="","",'KPI Tracker FY26-27'!G9)</f>
        <v/>
      </c>
      <c r="G10" s="131">
        <f>IF('KPI Tracker FY26-27'!H4="","",'KPI Tracker FY26-27'!H4)</f>
        <v/>
      </c>
      <c r="H10" s="131" t="inlineStr">
        <is>
          <t>inherited — via Functions (col K)</t>
        </is>
      </c>
      <c r="I10" s="130">
        <f>IF('KPI Tracker FY26-27'!M4="","",'KPI Tracker FY26-27'!M4)</f>
        <v/>
      </c>
      <c r="J10" s="130">
        <f>IF('KPI Tracker FY26-27'!N4="","",'KPI Tracker FY26-27'!N4)</f>
        <v/>
      </c>
      <c r="K10" s="130">
        <f>IF('KPI Tracker FY26-27'!O9="","",'KPI Tracker FY26-27'!O9)</f>
        <v/>
      </c>
      <c r="L10" s="130">
        <f>IF('KPI Tracker FY26-27'!P9="","",'KPI Tracker FY26-27'!P9)</f>
        <v/>
      </c>
      <c r="M10" s="130">
        <f>IF('KPI Tracker FY26-27'!Q9="","",'KPI Tracker FY26-27'!Q9)</f>
        <v/>
      </c>
      <c r="N10" s="131">
        <f>IF('KPI Tracker FY26-27'!R4="","",'KPI Tracker FY26-27'!R4)</f>
        <v/>
      </c>
    </row>
    <row r="11" ht="32" customHeight="1">
      <c r="A11" s="130" t="inlineStr">
        <is>
          <t>T8</t>
        </is>
      </c>
      <c r="B11" s="130" t="inlineStr">
        <is>
          <t>A</t>
        </is>
      </c>
      <c r="C11" s="131">
        <f>IF('KPI Tracker FY26-27'!C4="","",'KPI Tracker FY26-27'!C4)</f>
        <v/>
      </c>
      <c r="D11" s="130">
        <f>IF('KPI Tracker FY26-27'!D4="","",'KPI Tracker FY26-27'!D4)</f>
        <v/>
      </c>
      <c r="E11" s="130">
        <f>IF('KPI Tracker FY26-27'!E8="","",'KPI Tracker FY26-27'!E8)</f>
        <v/>
      </c>
      <c r="F11" s="132">
        <f>IF('KPI Tracker FY26-27'!G10="","",'KPI Tracker FY26-27'!G10)</f>
        <v/>
      </c>
      <c r="G11" s="131">
        <f>IF('KPI Tracker FY26-27'!H4="","",'KPI Tracker FY26-27'!H4)</f>
        <v/>
      </c>
      <c r="H11" s="131" t="inlineStr">
        <is>
          <t>inherited — via Functions (col K)</t>
        </is>
      </c>
      <c r="I11" s="130">
        <f>IF('KPI Tracker FY26-27'!M4="","",'KPI Tracker FY26-27'!M4)</f>
        <v/>
      </c>
      <c r="J11" s="130">
        <f>IF('KPI Tracker FY26-27'!N4="","",'KPI Tracker FY26-27'!N4)</f>
        <v/>
      </c>
      <c r="K11" s="130">
        <f>IF('KPI Tracker FY26-27'!O10="","",'KPI Tracker FY26-27'!O10)</f>
        <v/>
      </c>
      <c r="L11" s="130">
        <f>IF('KPI Tracker FY26-27'!P10="","",'KPI Tracker FY26-27'!P10)</f>
        <v/>
      </c>
      <c r="M11" s="130">
        <f>IF('KPI Tracker FY26-27'!Q10="","",'KPI Tracker FY26-27'!Q10)</f>
        <v/>
      </c>
      <c r="N11" s="131">
        <f>IF('KPI Tracker FY26-27'!R4="","",'KPI Tracker FY26-27'!R4)</f>
        <v/>
      </c>
    </row>
    <row r="12" ht="32" customHeight="1">
      <c r="A12" s="130" t="inlineStr">
        <is>
          <t>T9</t>
        </is>
      </c>
      <c r="B12" s="130" t="inlineStr">
        <is>
          <t>A</t>
        </is>
      </c>
      <c r="C12" s="131">
        <f>IF('KPI Tracker FY26-27'!C4="","",'KPI Tracker FY26-27'!C4)</f>
        <v/>
      </c>
      <c r="D12" s="130">
        <f>IF('KPI Tracker FY26-27'!D4="","",'KPI Tracker FY26-27'!D4)</f>
        <v/>
      </c>
      <c r="E12" s="130">
        <f>IF('KPI Tracker FY26-27'!E8="","",'KPI Tracker FY26-27'!E8)</f>
        <v/>
      </c>
      <c r="F12" s="132">
        <f>IF('KPI Tracker FY26-27'!G11="","",'KPI Tracker FY26-27'!G11)</f>
        <v/>
      </c>
      <c r="G12" s="131">
        <f>IF('KPI Tracker FY26-27'!H4="","",'KPI Tracker FY26-27'!H4)</f>
        <v/>
      </c>
      <c r="H12" s="131" t="inlineStr">
        <is>
          <t>inherited — via Functions (col K)</t>
        </is>
      </c>
      <c r="I12" s="130">
        <f>IF('KPI Tracker FY26-27'!M4="","",'KPI Tracker FY26-27'!M4)</f>
        <v/>
      </c>
      <c r="J12" s="130">
        <f>IF('KPI Tracker FY26-27'!N4="","",'KPI Tracker FY26-27'!N4)</f>
        <v/>
      </c>
      <c r="K12" s="130">
        <f>IF('KPI Tracker FY26-27'!O11="","",'KPI Tracker FY26-27'!O11)</f>
        <v/>
      </c>
      <c r="L12" s="130">
        <f>IF('KPI Tracker FY26-27'!P11="","",'KPI Tracker FY26-27'!P11)</f>
        <v/>
      </c>
      <c r="M12" s="130">
        <f>IF('KPI Tracker FY26-27'!Q11="","",'KPI Tracker FY26-27'!Q11)</f>
        <v/>
      </c>
      <c r="N12" s="131">
        <f>IF('KPI Tracker FY26-27'!R4="","",'KPI Tracker FY26-27'!R4)</f>
        <v/>
      </c>
    </row>
    <row r="13" ht="32" customHeight="1">
      <c r="A13" s="130" t="inlineStr">
        <is>
          <t>T10</t>
        </is>
      </c>
      <c r="B13" s="130" t="inlineStr">
        <is>
          <t>A</t>
        </is>
      </c>
      <c r="C13" s="131">
        <f>IF('KPI Tracker FY26-27'!C12="","",'KPI Tracker FY26-27'!C12)</f>
        <v/>
      </c>
      <c r="D13" s="130">
        <f>IF('KPI Tracker FY26-27'!D12="","",'KPI Tracker FY26-27'!D12)</f>
        <v/>
      </c>
      <c r="E13" s="130">
        <f>IF('KPI Tracker FY26-27'!E12="","",'KPI Tracker FY26-27'!E12)</f>
        <v/>
      </c>
      <c r="F13" s="132">
        <f>IF('KPI Tracker FY26-27'!G12="","",'KPI Tracker FY26-27'!G12)</f>
        <v/>
      </c>
      <c r="G13" s="131">
        <f>IF('KPI Tracker FY26-27'!H12="","",'KPI Tracker FY26-27'!H12)</f>
        <v/>
      </c>
      <c r="H13" s="131" t="inlineStr">
        <is>
          <t>inherited — via Functions (col K)</t>
        </is>
      </c>
      <c r="I13" s="130">
        <f>IF('KPI Tracker FY26-27'!M12="","",'KPI Tracker FY26-27'!M12)</f>
        <v/>
      </c>
      <c r="J13" s="130">
        <f>IF('KPI Tracker FY26-27'!N12="","",'KPI Tracker FY26-27'!N12)</f>
        <v/>
      </c>
      <c r="K13" s="130">
        <f>IF('KPI Tracker FY26-27'!O12="","",'KPI Tracker FY26-27'!O12)</f>
        <v/>
      </c>
      <c r="L13" s="130">
        <f>IF('KPI Tracker FY26-27'!P12="","",'KPI Tracker FY26-27'!P12)</f>
        <v/>
      </c>
      <c r="M13" s="130">
        <f>IF('KPI Tracker FY26-27'!Q12="","",'KPI Tracker FY26-27'!Q12)</f>
        <v/>
      </c>
      <c r="N13" s="131">
        <f>IF('KPI Tracker FY26-27'!R12="","",'KPI Tracker FY26-27'!R12)</f>
        <v/>
      </c>
    </row>
    <row r="14" ht="32" customHeight="1">
      <c r="A14" s="130" t="inlineStr">
        <is>
          <t>T11</t>
        </is>
      </c>
      <c r="B14" s="130" t="inlineStr">
        <is>
          <t>A</t>
        </is>
      </c>
      <c r="C14" s="131">
        <f>IF('KPI Tracker FY26-27'!C12="","",'KPI Tracker FY26-27'!C12)</f>
        <v/>
      </c>
      <c r="D14" s="130">
        <f>IF('KPI Tracker FY26-27'!D12="","",'KPI Tracker FY26-27'!D12)</f>
        <v/>
      </c>
      <c r="E14" s="130">
        <f>IF('KPI Tracker FY26-27'!E13="","",'KPI Tracker FY26-27'!E13)</f>
        <v/>
      </c>
      <c r="F14" s="132">
        <f>IF('KPI Tracker FY26-27'!G13="","",'KPI Tracker FY26-27'!G13)</f>
        <v/>
      </c>
      <c r="G14" s="131">
        <f>IF('KPI Tracker FY26-27'!H12="","",'KPI Tracker FY26-27'!H12)</f>
        <v/>
      </c>
      <c r="H14" s="131" t="inlineStr">
        <is>
          <t>inherited — via Functions (col K)</t>
        </is>
      </c>
      <c r="I14" s="130">
        <f>IF('KPI Tracker FY26-27'!M12="","",'KPI Tracker FY26-27'!M12)</f>
        <v/>
      </c>
      <c r="J14" s="130">
        <f>IF('KPI Tracker FY26-27'!N12="","",'KPI Tracker FY26-27'!N12)</f>
        <v/>
      </c>
      <c r="K14" s="130">
        <f>IF('KPI Tracker FY26-27'!O13="","",'KPI Tracker FY26-27'!O13)</f>
        <v/>
      </c>
      <c r="L14" s="130">
        <f>IF('KPI Tracker FY26-27'!P13="","",'KPI Tracker FY26-27'!P13)</f>
        <v/>
      </c>
      <c r="M14" s="130">
        <f>IF('KPI Tracker FY26-27'!Q13="","",'KPI Tracker FY26-27'!Q13)</f>
        <v/>
      </c>
      <c r="N14" s="131">
        <f>IF('KPI Tracker FY26-27'!R12="","",'KPI Tracker FY26-27'!R12)</f>
        <v/>
      </c>
    </row>
    <row r="15" ht="32" customHeight="1">
      <c r="A15" s="130" t="inlineStr">
        <is>
          <t>T12</t>
        </is>
      </c>
      <c r="B15" s="130" t="inlineStr">
        <is>
          <t>A</t>
        </is>
      </c>
      <c r="C15" s="131">
        <f>IF('KPI Tracker FY26-27'!C14="","",'KPI Tracker FY26-27'!C14)</f>
        <v/>
      </c>
      <c r="D15" s="130">
        <f>IF('KPI Tracker FY26-27'!D14="","",'KPI Tracker FY26-27'!D14)</f>
        <v/>
      </c>
      <c r="E15" s="130">
        <f>IF('KPI Tracker FY26-27'!E14="","",'KPI Tracker FY26-27'!E14)</f>
        <v/>
      </c>
      <c r="F15" s="132">
        <f>IF('KPI Tracker FY26-27'!G14="","",'KPI Tracker FY26-27'!G14)</f>
        <v/>
      </c>
      <c r="G15" s="131">
        <f>IF('KPI Tracker FY26-27'!H14="","",'KPI Tracker FY26-27'!H14)</f>
        <v/>
      </c>
      <c r="H15" s="131" t="inlineStr">
        <is>
          <t>inherited — team-sheet twin</t>
        </is>
      </c>
      <c r="I15" s="130">
        <f>IF('KPI Tracker FY26-27'!M14="","",'KPI Tracker FY26-27'!M14)</f>
        <v/>
      </c>
      <c r="J15" s="130">
        <f>IF('KPI Tracker FY26-27'!N14="","",'KPI Tracker FY26-27'!N14)</f>
        <v/>
      </c>
      <c r="K15" s="130">
        <f>IF('KPI Tracker FY26-27'!O14="","",'KPI Tracker FY26-27'!O14)</f>
        <v/>
      </c>
      <c r="L15" s="130">
        <f>IF('KPI Tracker FY26-27'!P14="","",'KPI Tracker FY26-27'!P14)</f>
        <v/>
      </c>
      <c r="M15" s="130">
        <f>IF('KPI Tracker FY26-27'!Q14="","",'KPI Tracker FY26-27'!Q14)</f>
        <v/>
      </c>
      <c r="N15" s="131">
        <f>IF('KPI Tracker FY26-27'!R14="","",'KPI Tracker FY26-27'!R14)</f>
        <v/>
      </c>
    </row>
    <row r="16" ht="32" customHeight="1">
      <c r="A16" s="130" t="inlineStr">
        <is>
          <t>T13</t>
        </is>
      </c>
      <c r="B16" s="130" t="inlineStr">
        <is>
          <t>A</t>
        </is>
      </c>
      <c r="C16" s="131">
        <f>IF('KPI Tracker FY26-27'!C16="","",'KPI Tracker FY26-27'!C16)</f>
        <v/>
      </c>
      <c r="D16" s="130">
        <f>IF('KPI Tracker FY26-27'!D16="","",'KPI Tracker FY26-27'!D16)</f>
        <v/>
      </c>
      <c r="E16" s="130">
        <f>IF('KPI Tracker FY26-27'!E16="","",'KPI Tracker FY26-27'!E16)</f>
        <v/>
      </c>
      <c r="F16" s="132">
        <f>IF('KPI Tracker FY26-27'!G16="","",'KPI Tracker FY26-27'!G16)</f>
        <v/>
      </c>
      <c r="G16" s="131">
        <f>IF('KPI Tracker FY26-27'!H16="","",'KPI Tracker FY26-27'!H16)</f>
        <v/>
      </c>
      <c r="H16" s="131" t="inlineStr">
        <is>
          <t>inherited — via Functions (col K)</t>
        </is>
      </c>
      <c r="I16" s="130">
        <f>IF('KPI Tracker FY26-27'!M16="","",'KPI Tracker FY26-27'!M16)</f>
        <v/>
      </c>
      <c r="J16" s="130">
        <f>IF('KPI Tracker FY26-27'!N16="","",'KPI Tracker FY26-27'!N16)</f>
        <v/>
      </c>
      <c r="K16" s="130">
        <f>IF('KPI Tracker FY26-27'!O16="","",'KPI Tracker FY26-27'!O16)</f>
        <v/>
      </c>
      <c r="L16" s="130">
        <f>IF('KPI Tracker FY26-27'!P16="","",'KPI Tracker FY26-27'!P16)</f>
        <v/>
      </c>
      <c r="M16" s="130">
        <f>IF('KPI Tracker FY26-27'!Q16="","",'KPI Tracker FY26-27'!Q16)</f>
        <v/>
      </c>
      <c r="N16" s="131">
        <f>IF('KPI Tracker FY26-27'!R16="","",'KPI Tracker FY26-27'!R16)</f>
        <v/>
      </c>
    </row>
    <row r="17" ht="45" customHeight="1">
      <c r="A17" s="130" t="inlineStr">
        <is>
          <t>T14</t>
        </is>
      </c>
      <c r="B17" s="130" t="inlineStr">
        <is>
          <t>A</t>
        </is>
      </c>
      <c r="C17" s="131">
        <f>IF('KPI Tracker FY26-27'!C17="","",'KPI Tracker FY26-27'!C17)</f>
        <v/>
      </c>
      <c r="D17" s="130">
        <f>IF('KPI Tracker FY26-27'!D17="","",'KPI Tracker FY26-27'!D17)</f>
        <v/>
      </c>
      <c r="E17" s="130">
        <f>IF('KPI Tracker FY26-27'!E17="","",'KPI Tracker FY26-27'!E17)</f>
        <v/>
      </c>
      <c r="F17" s="132">
        <f>IF('KPI Tracker FY26-27'!G17="","",'KPI Tracker FY26-27'!G17)</f>
        <v/>
      </c>
      <c r="G17" s="131">
        <f>IF('KPI Tracker FY26-27'!H17="","",'KPI Tracker FY26-27'!H17)</f>
        <v/>
      </c>
      <c r="H17" s="131" t="inlineStr">
        <is>
          <t>inherited — via Functions (col K)</t>
        </is>
      </c>
      <c r="I17" s="130">
        <f>IF('KPI Tracker FY26-27'!M17="","",'KPI Tracker FY26-27'!M17)</f>
        <v/>
      </c>
      <c r="J17" s="130">
        <f>IF('KPI Tracker FY26-27'!N17="","",'KPI Tracker FY26-27'!N17)</f>
        <v/>
      </c>
      <c r="K17" s="130">
        <f>IF('KPI Tracker FY26-27'!O17="","",'KPI Tracker FY26-27'!O17)</f>
        <v/>
      </c>
      <c r="L17" s="130">
        <f>IF('KPI Tracker FY26-27'!P17="","",'KPI Tracker FY26-27'!P17)</f>
        <v/>
      </c>
      <c r="M17" s="130">
        <f>IF('KPI Tracker FY26-27'!Q17="","",'KPI Tracker FY26-27'!Q17)</f>
        <v/>
      </c>
      <c r="N17" s="131">
        <f>IF('KPI Tracker FY26-27'!R17="","",'KPI Tracker FY26-27'!R17)</f>
        <v/>
      </c>
    </row>
    <row r="18" ht="84" customHeight="1">
      <c r="A18" s="130" t="inlineStr">
        <is>
          <t>T15</t>
        </is>
      </c>
      <c r="B18" s="130" t="inlineStr">
        <is>
          <t>A</t>
        </is>
      </c>
      <c r="C18" s="131">
        <f>IF('KPI Tracker FY26-27'!C18="","",'KPI Tracker FY26-27'!C18)</f>
        <v/>
      </c>
      <c r="D18" s="130">
        <f>IF('KPI Tracker FY26-27'!D18="","",'KPI Tracker FY26-27'!D18)</f>
        <v/>
      </c>
      <c r="E18" s="130">
        <f>IF('KPI Tracker FY26-27'!E18="","",'KPI Tracker FY26-27'!E18)</f>
        <v/>
      </c>
      <c r="F18" s="132">
        <f>IF('KPI Tracker FY26-27'!G18="","",'KPI Tracker FY26-27'!G18)</f>
        <v/>
      </c>
      <c r="G18" s="131">
        <f>IF('KPI Tracker FY26-27'!H18="","",'KPI Tracker FY26-27'!H18)</f>
        <v/>
      </c>
      <c r="H18" s="131" t="inlineStr">
        <is>
          <t>inherited — team-sheet twin</t>
        </is>
      </c>
      <c r="I18" s="130">
        <f>IF('KPI Tracker FY26-27'!M18="","",'KPI Tracker FY26-27'!M18)</f>
        <v/>
      </c>
      <c r="J18" s="130">
        <f>IF('KPI Tracker FY26-27'!N18="","",'KPI Tracker FY26-27'!N18)</f>
        <v/>
      </c>
      <c r="K18" s="130">
        <f>IF('KPI Tracker FY26-27'!O18="","",'KPI Tracker FY26-27'!O18)</f>
        <v/>
      </c>
      <c r="L18" s="130">
        <f>IF('KPI Tracker FY26-27'!P18="","",'KPI Tracker FY26-27'!P18)</f>
        <v/>
      </c>
      <c r="M18" s="130">
        <f>IF('KPI Tracker FY26-27'!Q18="","",'KPI Tracker FY26-27'!Q18)</f>
        <v/>
      </c>
      <c r="N18" s="131">
        <f>IF('KPI Tracker FY26-27'!R18="","",'KPI Tracker FY26-27'!R18)</f>
        <v/>
      </c>
    </row>
    <row r="19" ht="32" customHeight="1">
      <c r="A19" s="130" t="inlineStr">
        <is>
          <t>T16</t>
        </is>
      </c>
      <c r="B19" s="130" t="inlineStr">
        <is>
          <t>A</t>
        </is>
      </c>
      <c r="C19" s="131">
        <f>IF('KPI Tracker FY26-27'!C19="","",'KPI Tracker FY26-27'!C19)</f>
        <v/>
      </c>
      <c r="D19" s="130">
        <f>IF('KPI Tracker FY26-27'!D19="","",'KPI Tracker FY26-27'!D19)</f>
        <v/>
      </c>
      <c r="E19" s="130">
        <f>IF('KPI Tracker FY26-27'!E19="","",'KPI Tracker FY26-27'!E19)</f>
        <v/>
      </c>
      <c r="F19" s="132">
        <f>IF('KPI Tracker FY26-27'!G19="","",'KPI Tracker FY26-27'!G19)</f>
        <v/>
      </c>
      <c r="G19" s="131">
        <f>IF('KPI Tracker FY26-27'!H19="","",'KPI Tracker FY26-27'!H19)</f>
        <v/>
      </c>
      <c r="H19" s="131" t="inlineStr">
        <is>
          <t>inherited — team-sheet twin</t>
        </is>
      </c>
      <c r="I19" s="130">
        <f>IF('KPI Tracker FY26-27'!M19="","",'KPI Tracker FY26-27'!M19)</f>
        <v/>
      </c>
      <c r="J19" s="130">
        <f>IF('KPI Tracker FY26-27'!N19="","",'KPI Tracker FY26-27'!N19)</f>
        <v/>
      </c>
      <c r="K19" s="130">
        <f>IF('KPI Tracker FY26-27'!O19="","",'KPI Tracker FY26-27'!O19)</f>
        <v/>
      </c>
      <c r="L19" s="130">
        <f>IF('KPI Tracker FY26-27'!P19="","",'KPI Tracker FY26-27'!P19)</f>
        <v/>
      </c>
      <c r="M19" s="130">
        <f>IF('KPI Tracker FY26-27'!Q19="","",'KPI Tracker FY26-27'!Q19)</f>
        <v/>
      </c>
      <c r="N19" s="131">
        <f>IF('KPI Tracker FY26-27'!R19="","",'KPI Tracker FY26-27'!R19)</f>
        <v/>
      </c>
    </row>
    <row r="20" ht="32" customHeight="1">
      <c r="A20" s="130" t="inlineStr">
        <is>
          <t>T24</t>
        </is>
      </c>
      <c r="B20" s="130" t="inlineStr">
        <is>
          <t>A</t>
        </is>
      </c>
      <c r="C20" s="131">
        <f>IF('KPI Tracker FY26-27'!C27="","",'KPI Tracker FY26-27'!C27)</f>
        <v/>
      </c>
      <c r="D20" s="130">
        <f>IF('KPI Tracker FY26-27'!D27="","",'KPI Tracker FY26-27'!D27)</f>
        <v/>
      </c>
      <c r="E20" s="130">
        <f>IF('KPI Tracker FY26-27'!E27="","",'KPI Tracker FY26-27'!E27)</f>
        <v/>
      </c>
      <c r="F20" s="132">
        <f>IF('KPI Tracker FY26-27'!G27="","",'KPI Tracker FY26-27'!G27)</f>
        <v/>
      </c>
      <c r="G20" s="131">
        <f>IF('KPI Tracker FY26-27'!H27="","",'KPI Tracker FY26-27'!H27)</f>
        <v/>
      </c>
      <c r="H20" s="131" t="inlineStr">
        <is>
          <t>inherited — via Functions (col K)</t>
        </is>
      </c>
      <c r="I20" s="130">
        <f>IF('KPI Tracker FY26-27'!M27="","",'KPI Tracker FY26-27'!M27)</f>
        <v/>
      </c>
      <c r="J20" s="130">
        <f>IF('KPI Tracker FY26-27'!N27="","",'KPI Tracker FY26-27'!N27)</f>
        <v/>
      </c>
      <c r="K20" s="130">
        <f>IF('KPI Tracker FY26-27'!O27="","",'KPI Tracker FY26-27'!O27)</f>
        <v/>
      </c>
      <c r="L20" s="130">
        <f>IF('KPI Tracker FY26-27'!P27="","",'KPI Tracker FY26-27'!P27)</f>
        <v/>
      </c>
      <c r="M20" s="130">
        <f>IF('KPI Tracker FY26-27'!Q27="","",'KPI Tracker FY26-27'!Q27)</f>
        <v/>
      </c>
      <c r="N20" s="131">
        <f>IF('KPI Tracker FY26-27'!R27="","",'KPI Tracker FY26-27'!R27)</f>
        <v/>
      </c>
    </row>
    <row r="21" ht="32" customHeight="1">
      <c r="A21" s="130" t="inlineStr">
        <is>
          <t>T25</t>
        </is>
      </c>
      <c r="B21" s="130" t="inlineStr">
        <is>
          <t>A</t>
        </is>
      </c>
      <c r="C21" s="131">
        <f>IF('KPI Tracker FY26-27'!C27="","",'KPI Tracker FY26-27'!C27)</f>
        <v/>
      </c>
      <c r="D21" s="130">
        <f>IF('KPI Tracker FY26-27'!D27="","",'KPI Tracker FY26-27'!D27)</f>
        <v/>
      </c>
      <c r="E21" s="130">
        <f>IF('KPI Tracker FY26-27'!E28="","",'KPI Tracker FY26-27'!E28)</f>
        <v/>
      </c>
      <c r="F21" s="132">
        <f>IF('KPI Tracker FY26-27'!G28="","",'KPI Tracker FY26-27'!G28)</f>
        <v/>
      </c>
      <c r="G21" s="131">
        <f>IF('KPI Tracker FY26-27'!H27="","",'KPI Tracker FY26-27'!H27)</f>
        <v/>
      </c>
      <c r="H21" s="131" t="inlineStr">
        <is>
          <t>inherited — via Functions (col K)</t>
        </is>
      </c>
      <c r="I21" s="130">
        <f>IF('KPI Tracker FY26-27'!M27="","",'KPI Tracker FY26-27'!M27)</f>
        <v/>
      </c>
      <c r="J21" s="130">
        <f>IF('KPI Tracker FY26-27'!N27="","",'KPI Tracker FY26-27'!N27)</f>
        <v/>
      </c>
      <c r="K21" s="130">
        <f>IF('KPI Tracker FY26-27'!O28="","",'KPI Tracker FY26-27'!O28)</f>
        <v/>
      </c>
      <c r="L21" s="130">
        <f>IF('KPI Tracker FY26-27'!P28="","",'KPI Tracker FY26-27'!P28)</f>
        <v/>
      </c>
      <c r="M21" s="130">
        <f>IF('KPI Tracker FY26-27'!Q28="","",'KPI Tracker FY26-27'!Q28)</f>
        <v/>
      </c>
      <c r="N21" s="131">
        <f>IF('KPI Tracker FY26-27'!R27="","",'KPI Tracker FY26-27'!R27)</f>
        <v/>
      </c>
    </row>
    <row r="22" ht="32" customHeight="1">
      <c r="A22" s="130" t="inlineStr">
        <is>
          <t>T27</t>
        </is>
      </c>
      <c r="B22" s="130" t="inlineStr">
        <is>
          <t>A</t>
        </is>
      </c>
      <c r="C22" s="131">
        <f>IF('KPI Tracker FY26-27'!C31="","",'KPI Tracker FY26-27'!C31)</f>
        <v/>
      </c>
      <c r="D22" s="130">
        <f>IF('KPI Tracker FY26-27'!D31="","",'KPI Tracker FY26-27'!D31)</f>
        <v/>
      </c>
      <c r="E22" s="130">
        <f>IF('KPI Tracker FY26-27'!E31="","",'KPI Tracker FY26-27'!E31)</f>
        <v/>
      </c>
      <c r="F22" s="132">
        <f>IF('KPI Tracker FY26-27'!G31="","",'KPI Tracker FY26-27'!G31)</f>
        <v/>
      </c>
      <c r="G22" s="131">
        <f>IF('KPI Tracker FY26-27'!H31="","",'KPI Tracker FY26-27'!H31)</f>
        <v/>
      </c>
      <c r="H22" s="131" t="inlineStr">
        <is>
          <t>inherited — via Functions (col K)</t>
        </is>
      </c>
      <c r="I22" s="130">
        <f>IF('KPI Tracker FY26-27'!M31="","",'KPI Tracker FY26-27'!M31)</f>
        <v/>
      </c>
      <c r="J22" s="130">
        <f>IF('KPI Tracker FY26-27'!N31="","",'KPI Tracker FY26-27'!N31)</f>
        <v/>
      </c>
      <c r="K22" s="130">
        <f>IF('KPI Tracker FY26-27'!O31="","",'KPI Tracker FY26-27'!O31)</f>
        <v/>
      </c>
      <c r="L22" s="130">
        <f>IF('KPI Tracker FY26-27'!P31="","",'KPI Tracker FY26-27'!P31)</f>
        <v/>
      </c>
      <c r="M22" s="130">
        <f>IF('KPI Tracker FY26-27'!Q31="","",'KPI Tracker FY26-27'!Q31)</f>
        <v/>
      </c>
      <c r="N22" s="131">
        <f>IF('KPI Tracker FY26-27'!R31="","",'KPI Tracker FY26-27'!R31)</f>
        <v/>
      </c>
    </row>
    <row r="23" ht="32" customHeight="1">
      <c r="A23" s="130" t="inlineStr">
        <is>
          <t>T28</t>
        </is>
      </c>
      <c r="B23" s="130" t="inlineStr">
        <is>
          <t>A</t>
        </is>
      </c>
      <c r="C23" s="131">
        <f>IF('KPI Tracker FY26-27'!C32="","",'KPI Tracker FY26-27'!C32)</f>
        <v/>
      </c>
      <c r="D23" s="130">
        <f>IF('KPI Tracker FY26-27'!D32="","",'KPI Tracker FY26-27'!D32)</f>
        <v/>
      </c>
      <c r="E23" s="130">
        <f>IF('KPI Tracker FY26-27'!E32="","",'KPI Tracker FY26-27'!E32)</f>
        <v/>
      </c>
      <c r="F23" s="132">
        <f>IF('KPI Tracker FY26-27'!G32="","",'KPI Tracker FY26-27'!G32)</f>
        <v/>
      </c>
      <c r="G23" s="131">
        <f>IF('KPI Tracker FY26-27'!H32="","",'KPI Tracker FY26-27'!H32)</f>
        <v/>
      </c>
      <c r="H23" s="131" t="inlineStr">
        <is>
          <t>inherited — via Functions (col K)</t>
        </is>
      </c>
      <c r="I23" s="130">
        <f>IF('KPI Tracker FY26-27'!M32="","",'KPI Tracker FY26-27'!M32)</f>
        <v/>
      </c>
      <c r="J23" s="130">
        <f>IF('KPI Tracker FY26-27'!N32="","",'KPI Tracker FY26-27'!N32)</f>
        <v/>
      </c>
      <c r="K23" s="130">
        <f>IF('KPI Tracker FY26-27'!O32="","",'KPI Tracker FY26-27'!O32)</f>
        <v/>
      </c>
      <c r="L23" s="130">
        <f>IF('KPI Tracker FY26-27'!P32="","",'KPI Tracker FY26-27'!P32)</f>
        <v/>
      </c>
      <c r="M23" s="130">
        <f>IF('KPI Tracker FY26-27'!Q32="","",'KPI Tracker FY26-27'!Q32)</f>
        <v/>
      </c>
      <c r="N23" s="131">
        <f>IF('KPI Tracker FY26-27'!R32="","",'KPI Tracker FY26-27'!R32)</f>
        <v/>
      </c>
    </row>
    <row r="24" ht="26" customHeight="1">
      <c r="A24" s="129" t="inlineStr">
        <is>
          <t>B — Owned: functional KPIs this team runs (budgets &amp; actuals live here) — Ladders-to key: direct = an org-KRA number · enabling = a dept §5 KPI · hygiene = guardrail by design</t>
        </is>
      </c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</row>
    <row r="25" ht="58" customHeight="1">
      <c r="A25" s="123" t="n">
        <v>1</v>
      </c>
      <c r="B25" s="123" t="inlineStr">
        <is>
          <t>B</t>
        </is>
      </c>
      <c r="C25" s="124" t="inlineStr">
        <is>
          <t>Business Impact</t>
        </is>
      </c>
      <c r="D25" s="123" t="inlineStr">
        <is>
          <t>All</t>
        </is>
      </c>
      <c r="E25" s="123" t="inlineStr">
        <is>
          <t>All</t>
        </is>
      </c>
      <c r="F25" s="125" t="inlineStr">
        <is>
          <t>Summative Skill Assessment Achievement Rate</t>
        </is>
      </c>
      <c r="G25" s="124" t="inlineStr">
        <is>
          <t>Students scoring above the defined passing threshold in summative skill assessments across owned domains. Passing threshold set by the team per domain context (default reference: 70%).</t>
        </is>
      </c>
      <c r="H25" s="124" t="inlineStr">
        <is>
          <t>direct → org KRA 1 — the summative achievement number itself (org scoreboard; the tracker reads it via module-quiz Bands + Alignment)</t>
        </is>
      </c>
      <c r="I25" s="123" t="inlineStr">
        <is>
          <t>%</t>
        </is>
      </c>
      <c r="J25" s="123" t="inlineStr">
        <is>
          <t>Quarterly</t>
        </is>
      </c>
      <c r="K25" s="123" t="n"/>
      <c r="L25" s="123" t="n"/>
      <c r="M25" s="126">
        <f>IF(AND(ISNUMBER(K25),ISNUMBER(L25)),K25-L25,"")</f>
        <v/>
      </c>
      <c r="N25" s="124" t="inlineStr">
        <is>
          <t>Q1 ref: B 35 (quarterly) · default threshold 70%.</t>
        </is>
      </c>
    </row>
    <row r="26" ht="58" customHeight="1">
      <c r="A26" s="123" t="n">
        <v>2</v>
      </c>
      <c r="B26" s="123" t="inlineStr">
        <is>
          <t>B</t>
        </is>
      </c>
      <c r="C26" s="124" t="inlineStr">
        <is>
          <t>Business Impact</t>
        </is>
      </c>
      <c r="D26" s="123" t="inlineStr">
        <is>
          <t>All</t>
        </is>
      </c>
      <c r="E26" s="123" t="inlineStr">
        <is>
          <t>All</t>
        </is>
      </c>
      <c r="F26" s="125" t="inlineStr">
        <is>
          <t>Formative Skill Assessment Achievement Rate</t>
        </is>
      </c>
      <c r="G26" s="124" t="inlineStr">
        <is>
          <t>Students scoring above the defined passing threshold in formative skill assessments across owned domains. Passing threshold set by the team per domain context (default reference: 70%).</t>
        </is>
      </c>
      <c r="H26" s="124" t="inlineStr">
        <is>
          <t>enabling → Summative SA Achievement (row above) + tracker Content–Assessment Alignment — the early-warning formative read</t>
        </is>
      </c>
      <c r="I26" s="123" t="inlineStr">
        <is>
          <t>%</t>
        </is>
      </c>
      <c r="J26" s="123" t="inlineStr">
        <is>
          <t>Monthly</t>
        </is>
      </c>
      <c r="K26" s="123" t="n"/>
      <c r="L26" s="123" t="n"/>
      <c r="M26" s="126">
        <f>IF(AND(ISNUMBER(K26),ISNUMBER(L26)),K26-L26,"")</f>
        <v/>
      </c>
      <c r="N26" s="124" t="inlineStr">
        <is>
          <t>Q1 Jul: B 23 · A 33.4 — 75% cap used as the Skill Assessments cut-off.</t>
        </is>
      </c>
    </row>
    <row r="27" ht="58" customHeight="1">
      <c r="A27" s="123" t="n">
        <v>3</v>
      </c>
      <c r="B27" s="123" t="inlineStr">
        <is>
          <t>B</t>
        </is>
      </c>
      <c r="C27" s="124" t="inlineStr">
        <is>
          <t>Business Impact</t>
        </is>
      </c>
      <c r="D27" s="123" t="inlineStr">
        <is>
          <t>NIAT</t>
        </is>
      </c>
      <c r="E27" s="123" t="inlineStr">
        <is>
          <t>All</t>
        </is>
      </c>
      <c r="F27" s="125" t="inlineStr">
        <is>
          <t>Graded Assessment Achievement Rate</t>
        </is>
      </c>
      <c r="G27" s="124" t="inlineStr">
        <is>
          <t>Students scoring above the defined passing threshold in university-conducted graded assessments — Mid-1, Mid-2 and End Semester exams — delivered in collaboration with the university.</t>
        </is>
      </c>
      <c r="H27" s="124" t="inlineStr">
        <is>
          <t>enabling → dept Business Impact (§5) — university-conducted exams: NIAT SPI &amp; university trust</t>
        </is>
      </c>
      <c r="I27" s="123" t="inlineStr">
        <is>
          <t>%</t>
        </is>
      </c>
      <c r="J27" s="123" t="inlineStr">
        <is>
          <t>Monthly</t>
        </is>
      </c>
      <c r="K27" s="123" t="n"/>
      <c r="L27" s="123" t="n"/>
      <c r="M27" s="126">
        <f>IF(AND(ISNUMBER(K27),ISNUMBER(L27)),K27-L27,"")</f>
        <v/>
      </c>
      <c r="N27" s="124" t="inlineStr"/>
    </row>
    <row r="28" ht="45" customHeight="1">
      <c r="A28" s="123" t="n">
        <v>4</v>
      </c>
      <c r="B28" s="123" t="inlineStr">
        <is>
          <t>B</t>
        </is>
      </c>
      <c r="C28" s="124" t="inlineStr">
        <is>
          <t>Business Impact</t>
        </is>
      </c>
      <c r="D28" s="123" t="inlineStr">
        <is>
          <t>Launchpad</t>
        </is>
      </c>
      <c r="E28" s="123" t="inlineStr">
        <is>
          <t>All</t>
        </is>
      </c>
      <c r="F28" s="125" t="inlineStr">
        <is>
          <t>Weekly Active Users</t>
        </is>
      </c>
      <c r="G28" s="124" t="inlineStr">
        <is>
          <t>Total prospective learner leads generated in the period through content-driven channels (organic, referral, campaigns, partnerships).</t>
        </is>
      </c>
      <c r="H28" s="124" t="inlineStr">
        <is>
          <t>enabling → dept Business Impact (§5) — Launchpad top-of-funnel</t>
        </is>
      </c>
      <c r="I28" s="123" t="inlineStr">
        <is>
          <t>Count</t>
        </is>
      </c>
      <c r="J28" s="123" t="inlineStr">
        <is>
          <t>Monthly (wkly avg)</t>
        </is>
      </c>
      <c r="K28" s="123" t="n"/>
      <c r="L28" s="123" t="n"/>
      <c r="M28" s="126">
        <f>IF(AND(ISNUMBER(K28),ISNUMBER(L28)),K28-L28,"")</f>
        <v/>
      </c>
      <c r="N28" s="124" t="inlineStr"/>
    </row>
    <row r="29" ht="58" customHeight="1">
      <c r="A29" s="123" t="n">
        <v>5</v>
      </c>
      <c r="B29" s="123" t="inlineStr">
        <is>
          <t>B</t>
        </is>
      </c>
      <c r="C29" s="124" t="inlineStr">
        <is>
          <t>Content Effectiveness</t>
        </is>
      </c>
      <c r="D29" s="123" t="inlineStr">
        <is>
          <t>All</t>
        </is>
      </c>
      <c r="E29" s="123" t="inlineStr">
        <is>
          <t>All</t>
        </is>
      </c>
      <c r="F29" s="125" t="inlineStr">
        <is>
          <t>Pedagogy Initiative Impact</t>
        </is>
      </c>
      <c r="G29" s="124" t="inlineStr">
        <is>
          <t>Implemented pedagogy initiatives with measurable learning-outcome improvement. Outcome baseline must be defined and agreed before the initiative is launched.</t>
        </is>
      </c>
      <c r="H29" s="124" t="inlineStr">
        <is>
          <t>enabling → module-quiz Bands + org KRA 2 Academics CSAT — pedagogy initiatives move the learning numbers</t>
        </is>
      </c>
      <c r="I29" s="123" t="inlineStr">
        <is>
          <t>Count</t>
        </is>
      </c>
      <c r="J29" s="123" t="inlineStr">
        <is>
          <t>Quarterly</t>
        </is>
      </c>
      <c r="K29" s="123" t="n"/>
      <c r="L29" s="123" t="n"/>
      <c r="M29" s="126">
        <f>IF(AND(ISNUMBER(K29),ISNUMBER(L29)),K29-L29,"")</f>
        <v/>
      </c>
      <c r="N29" s="124" t="inlineStr">
        <is>
          <t>Owned by the domain SME on this team; embedded Pedagogy Experts contribute to the initiatives. Pre-agreed outcome form: becomes Domain Learning-Value Uplift — ability/band improvement across this domain's courses per cycle (HE×HV machinery) — once per-course ability instruments are confirmed.</t>
        </is>
      </c>
    </row>
    <row r="30" ht="45" customHeight="1">
      <c r="A30" s="123" t="n">
        <v>6</v>
      </c>
      <c r="B30" s="123" t="inlineStr">
        <is>
          <t>B</t>
        </is>
      </c>
      <c r="C30" s="124" t="inlineStr">
        <is>
          <t>Content Effectiveness</t>
        </is>
      </c>
      <c r="D30" s="123" t="inlineStr">
        <is>
          <t>All</t>
        </is>
      </c>
      <c r="E30" s="123" t="inlineStr">
        <is>
          <t>All</t>
        </is>
      </c>
      <c r="F30" s="125" t="inlineStr">
        <is>
          <t>Learner Accessed Content Completion Rate</t>
        </is>
      </c>
      <c r="G30" s="124" t="inlineStr">
        <is>
          <t>Video units: for each learner, % of video units they opened that they also completed; averaged across learners. Excludes units with zero opens.</t>
        </is>
      </c>
      <c r="H30" s="124" t="inlineStr">
        <is>
          <t>enabling → tracker Engagement-Matrix Cell Migration — video-stickiness leg of the value axis; access-conditioned, so conduction effects are stripped</t>
        </is>
      </c>
      <c r="I30" s="123" t="inlineStr">
        <is>
          <t>%</t>
        </is>
      </c>
      <c r="J30" s="123" t="inlineStr">
        <is>
          <t>Monthly</t>
        </is>
      </c>
      <c r="K30" s="123" t="n"/>
      <c r="L30" s="123" t="n"/>
      <c r="M30" s="126">
        <f>IF(AND(ISNUMBER(K30),ISNUMBER(L30)),K30-L30,"")</f>
        <v/>
      </c>
      <c r="N30" s="124" t="inlineStr"/>
    </row>
    <row r="31" ht="58" customHeight="1">
      <c r="A31" s="123" t="n">
        <v>7</v>
      </c>
      <c r="B31" s="123" t="inlineStr">
        <is>
          <t>B</t>
        </is>
      </c>
      <c r="C31" s="124" t="inlineStr">
        <is>
          <t>Content Effectiveness</t>
        </is>
      </c>
      <c r="D31" s="123" t="inlineStr">
        <is>
          <t>All</t>
        </is>
      </c>
      <c r="E31" s="123" t="inlineStr">
        <is>
          <t>All</t>
        </is>
      </c>
      <c r="F31" s="125" t="inlineStr">
        <is>
          <t>Practice Attempt-to-Completion Rate</t>
        </is>
      </c>
      <c r="G31" s="124" t="inlineStr">
        <is>
          <t>Practice units: for each learner, % of coding/project exercises attempted that they also completed. Surfaces environment friction (IDE, playground, cloud setup) vs difficulty-related drop-off.</t>
        </is>
      </c>
      <c r="H31" s="124" t="inlineStr">
        <is>
          <t>enabling → tracker Journey Step Health steps 6–7 (practice return &amp; completion) + Learning Environment Satisfaction</t>
        </is>
      </c>
      <c r="I31" s="123" t="inlineStr">
        <is>
          <t>%</t>
        </is>
      </c>
      <c r="J31" s="123" t="inlineStr">
        <is>
          <t>Monthly</t>
        </is>
      </c>
      <c r="K31" s="123" t="n"/>
      <c r="L31" s="123" t="n"/>
      <c r="M31" s="126">
        <f>IF(AND(ISNUMBER(K31),ISNUMBER(L31)),K31-L31,"")</f>
        <v/>
      </c>
      <c r="N31" s="124" t="inlineStr">
        <is>
          <t>Q1 Jul: B 38.</t>
        </is>
      </c>
    </row>
    <row r="32" ht="45" customHeight="1">
      <c r="A32" s="123" t="n">
        <v>8</v>
      </c>
      <c r="B32" s="123" t="inlineStr">
        <is>
          <t>B</t>
        </is>
      </c>
      <c r="C32" s="124" t="inlineStr">
        <is>
          <t>Content Velocity</t>
        </is>
      </c>
      <c r="D32" s="123" t="inlineStr">
        <is>
          <t>All</t>
        </is>
      </c>
      <c r="E32" s="123" t="inlineStr">
        <is>
          <t>All</t>
        </is>
      </c>
      <c r="F32" s="125" t="inlineStr">
        <is>
          <t>Learning Content Hours Delivered</t>
        </is>
      </c>
      <c r="G32" s="124" t="inlineStr">
        <is>
          <t>Total learning content hours created per month across all formats (video, text, interactive). Content serving multiple products counted once.</t>
        </is>
      </c>
      <c r="H32" s="124" t="inlineStr">
        <is>
          <t>enabling → dept Content Velocity (§5) — capacity for B4 &amp; new stacks</t>
        </is>
      </c>
      <c r="I32" s="123" t="inlineStr">
        <is>
          <t>Hours</t>
        </is>
      </c>
      <c r="J32" s="123" t="inlineStr">
        <is>
          <t>Monthly</t>
        </is>
      </c>
      <c r="K32" s="123" t="n"/>
      <c r="L32" s="123" t="n"/>
      <c r="M32" s="126">
        <f>IF(AND(ISNUMBER(K32),ISNUMBER(L32)),K32-L32,"")</f>
        <v/>
      </c>
      <c r="N32" s="124" t="inlineStr">
        <is>
          <t>Q1 Jul: B 50 · A 46.</t>
        </is>
      </c>
    </row>
    <row r="33" ht="58" customHeight="1">
      <c r="A33" s="123" t="n">
        <v>9</v>
      </c>
      <c r="B33" s="123" t="inlineStr">
        <is>
          <t>B</t>
        </is>
      </c>
      <c r="C33" s="124" t="inlineStr">
        <is>
          <t>Content Velocity</t>
        </is>
      </c>
      <c r="D33" s="123" t="inlineStr">
        <is>
          <t>All</t>
        </is>
      </c>
      <c r="E33" s="123" t="inlineStr">
        <is>
          <t>All</t>
        </is>
      </c>
      <c r="F33" s="125" t="inlineStr">
        <is>
          <t>Vernacular Content Hours Delivered</t>
        </is>
      </c>
      <c r="G33" s="124" t="inlineStr">
        <is>
          <t>Total vernacular-language learning content hours created per month. Tracked separately from English hours — effort per vernacular hour differs significantly.</t>
        </is>
      </c>
      <c r="H33" s="124" t="inlineStr">
        <is>
          <t>enabling → dept Content Velocity (§5) — vernacular capacity</t>
        </is>
      </c>
      <c r="I33" s="123" t="inlineStr">
        <is>
          <t>Hours</t>
        </is>
      </c>
      <c r="J33" s="123" t="inlineStr">
        <is>
          <t>Monthly</t>
        </is>
      </c>
      <c r="K33" s="123" t="n"/>
      <c r="L33" s="123" t="n"/>
      <c r="M33" s="126">
        <f>IF(AND(ISNUMBER(K33),ISNUMBER(L33)),K33-L33,"")</f>
        <v/>
      </c>
      <c r="N33" s="124" t="inlineStr">
        <is>
          <t>Q1 Jul: B 0 — no vernacular slate yet.</t>
        </is>
      </c>
    </row>
    <row r="34" ht="45" customHeight="1">
      <c r="A34" s="123" t="n">
        <v>10</v>
      </c>
      <c r="B34" s="123" t="inlineStr">
        <is>
          <t>B</t>
        </is>
      </c>
      <c r="C34" s="124" t="inlineStr">
        <is>
          <t>Content Velocity</t>
        </is>
      </c>
      <c r="D34" s="123" t="inlineStr">
        <is>
          <t>All</t>
        </is>
      </c>
      <c r="E34" s="123" t="inlineStr">
        <is>
          <t>All</t>
        </is>
      </c>
      <c r="F34" s="125" t="inlineStr">
        <is>
          <t>Practice &amp; Assessment Content Pieces Delivered</t>
        </is>
      </c>
      <c r="G34" s="124" t="inlineStr">
        <is>
          <t>Total practice and assessment pieces delivered monthly across owned domains (MCQs, coding questions, projects, case studies).</t>
        </is>
      </c>
      <c r="H34" s="124" t="inlineStr">
        <is>
          <t>enabling → dept Content Velocity (§5) — practice depth behind Journey Step Health steps 5–7</t>
        </is>
      </c>
      <c r="I34" s="123" t="inlineStr">
        <is>
          <t>Count</t>
        </is>
      </c>
      <c r="J34" s="123" t="inlineStr">
        <is>
          <t>Monthly</t>
        </is>
      </c>
      <c r="K34" s="123" t="n"/>
      <c r="L34" s="123" t="n"/>
      <c r="M34" s="126">
        <f>IF(AND(ISNUMBER(K34),ISNUMBER(L34)),K34-L34,"")</f>
        <v/>
      </c>
      <c r="N34" s="124" t="inlineStr">
        <is>
          <t>Q1 Jul: B 1,600 · A 1,499 (Aug B: 1,000).</t>
        </is>
      </c>
    </row>
    <row r="35" ht="32" customHeight="1">
      <c r="A35" s="123" t="n">
        <v>11</v>
      </c>
      <c r="B35" s="123" t="inlineStr">
        <is>
          <t>B</t>
        </is>
      </c>
      <c r="C35" s="124" t="inlineStr">
        <is>
          <t>Content Velocity</t>
        </is>
      </c>
      <c r="D35" s="123" t="inlineStr">
        <is>
          <t>All</t>
        </is>
      </c>
      <c r="E35" s="123" t="inlineStr">
        <is>
          <t>All</t>
        </is>
      </c>
      <c r="F35" s="125" t="inlineStr">
        <is>
          <t>Branding Content Assets Delivered</t>
        </is>
      </c>
      <c r="G35" s="124" t="inlineStr">
        <is>
          <t>Total branded content pieces produced monthly (thumbnails, banners, promo assets).</t>
        </is>
      </c>
      <c r="H35" s="124" t="inlineStr">
        <is>
          <t>enabling → dept Content Velocity (§5)</t>
        </is>
      </c>
      <c r="I35" s="123" t="inlineStr">
        <is>
          <t>Count</t>
        </is>
      </c>
      <c r="J35" s="123" t="inlineStr">
        <is>
          <t>Monthly</t>
        </is>
      </c>
      <c r="K35" s="123" t="n"/>
      <c r="L35" s="123" t="n"/>
      <c r="M35" s="126">
        <f>IF(AND(ISNUMBER(K35),ISNUMBER(L35)),K35-L35,"")</f>
        <v/>
      </c>
      <c r="N35" s="124" t="inlineStr">
        <is>
          <t>Q1 Jul: B 0.</t>
        </is>
      </c>
    </row>
    <row r="36" ht="58" customHeight="1">
      <c r="A36" s="123" t="n">
        <v>12</v>
      </c>
      <c r="B36" s="123" t="inlineStr">
        <is>
          <t>B</t>
        </is>
      </c>
      <c r="C36" s="124" t="inlineStr">
        <is>
          <t>Content Efficiency</t>
        </is>
      </c>
      <c r="D36" s="123" t="inlineStr">
        <is>
          <t>All</t>
        </is>
      </c>
      <c r="E36" s="123" t="inlineStr">
        <is>
          <t>All</t>
        </is>
      </c>
      <c r="F36" s="125" t="inlineStr">
        <is>
          <t>Cost per Learning Hour Produced</t>
        </is>
      </c>
      <c r="G36" s="124" t="inlineStr">
        <is>
          <t>Average cost to produce one hour of learning content. Includes people, tools and infra involved in creation. Tracks creation efficiency — not delivery cost.</t>
        </is>
      </c>
      <c r="H36" s="124" t="inlineStr">
        <is>
          <t>enabling → dept Cost per Learning Hour (§5 Content Efficiency)</t>
        </is>
      </c>
      <c r="I36" s="123" t="inlineStr">
        <is>
          <t>INR</t>
        </is>
      </c>
      <c r="J36" s="123" t="inlineStr">
        <is>
          <t>Monthly</t>
        </is>
      </c>
      <c r="K36" s="123" t="n"/>
      <c r="L36" s="123" t="n"/>
      <c r="M36" s="126">
        <f>IF(AND(ISNUMBER(K36),ISNUMBER(L36)),K36-L36,"")</f>
        <v/>
      </c>
      <c r="N36" s="124" t="inlineStr">
        <is>
          <t>Q1 Jul: B ₹10,000 · A ₹6,803 — 46 h across 4 products.</t>
        </is>
      </c>
    </row>
    <row r="37" ht="58" customHeight="1">
      <c r="A37" s="123" t="n">
        <v>13</v>
      </c>
      <c r="B37" s="123" t="inlineStr">
        <is>
          <t>B</t>
        </is>
      </c>
      <c r="C37" s="124" t="inlineStr">
        <is>
          <t>Content Efficiency</t>
        </is>
      </c>
      <c r="D37" s="123" t="inlineStr">
        <is>
          <t>All</t>
        </is>
      </c>
      <c r="E37" s="123" t="inlineStr">
        <is>
          <t>All</t>
        </is>
      </c>
      <c r="F37" s="125" t="inlineStr">
        <is>
          <t>Cost per Vernacular Content Hour</t>
        </is>
      </c>
      <c r="G37" s="124" t="inlineStr">
        <is>
          <t>Average cost to produce one hour of vernacular-language content. Includes team bandwidth involved in creation (contract basis, tools &amp; infrastructure).</t>
        </is>
      </c>
      <c r="H37" s="124" t="inlineStr">
        <is>
          <t>enabling → dept Cost per Vernacular Content Hour (§5) — production-side twin of CSI's central track</t>
        </is>
      </c>
      <c r="I37" s="123" t="inlineStr">
        <is>
          <t>INR</t>
        </is>
      </c>
      <c r="J37" s="123" t="inlineStr">
        <is>
          <t>Monthly</t>
        </is>
      </c>
      <c r="K37" s="123" t="n"/>
      <c r="L37" s="123" t="n"/>
      <c r="M37" s="126">
        <f>IF(AND(ISNUMBER(K37),ISNUMBER(L37)),K37-L37,"")</f>
        <v/>
      </c>
      <c r="N37" s="124" t="inlineStr">
        <is>
          <t>Q1 Jul: B 0 · A 0.</t>
        </is>
      </c>
    </row>
    <row r="38" ht="32" customHeight="1">
      <c r="A38" s="123" t="n">
        <v>14</v>
      </c>
      <c r="B38" s="123" t="inlineStr">
        <is>
          <t>B</t>
        </is>
      </c>
      <c r="C38" s="124" t="inlineStr">
        <is>
          <t>Content Efficiency</t>
        </is>
      </c>
      <c r="D38" s="123" t="inlineStr">
        <is>
          <t>All</t>
        </is>
      </c>
      <c r="E38" s="123" t="inlineStr">
        <is>
          <t>All</t>
        </is>
      </c>
      <c r="F38" s="125" t="inlineStr">
        <is>
          <t>Cost per MCQ Generated</t>
        </is>
      </c>
      <c r="G38" s="124" t="inlineStr">
        <is>
          <t>Average cost to develop one objective question, including both manual and AI-assisted production.</t>
        </is>
      </c>
      <c r="H38" s="124" t="inlineStr">
        <is>
          <t>enabling → dept Cost per MCQ (§5 Content Efficiency)</t>
        </is>
      </c>
      <c r="I38" s="123" t="inlineStr">
        <is>
          <t>INR</t>
        </is>
      </c>
      <c r="J38" s="123" t="inlineStr">
        <is>
          <t>Monthly</t>
        </is>
      </c>
      <c r="K38" s="123" t="n"/>
      <c r="L38" s="123" t="n"/>
      <c r="M38" s="126">
        <f>IF(AND(ISNUMBER(K38),ISNUMBER(L38)),K38-L38,"")</f>
        <v/>
      </c>
      <c r="N38" s="124" t="inlineStr">
        <is>
          <t>Q1 Jul: B ₹40 · A ₹26 — 1,347 MCQs across 2 products.</t>
        </is>
      </c>
    </row>
    <row r="39" ht="45" customHeight="1">
      <c r="A39" s="123" t="n">
        <v>15</v>
      </c>
      <c r="B39" s="123" t="inlineStr">
        <is>
          <t>B</t>
        </is>
      </c>
      <c r="C39" s="124" t="inlineStr">
        <is>
          <t>Content Efficiency</t>
        </is>
      </c>
      <c r="D39" s="123" t="inlineStr">
        <is>
          <t>All</t>
        </is>
      </c>
      <c r="E39" s="123" t="inlineStr">
        <is>
          <t>All</t>
        </is>
      </c>
      <c r="F39" s="125" t="inlineStr">
        <is>
          <t>Cost per Coding Question</t>
        </is>
      </c>
      <c r="G39" s="124" t="inlineStr">
        <is>
          <t>Average cost to develop one coding question, including test-case design and evaluation-engine configuration.</t>
        </is>
      </c>
      <c r="H39" s="124" t="inlineStr">
        <is>
          <t>enabling → dept Cost per Coding Question (§5 Content Efficiency)</t>
        </is>
      </c>
      <c r="I39" s="123" t="inlineStr">
        <is>
          <t>INR</t>
        </is>
      </c>
      <c r="J39" s="123" t="inlineStr">
        <is>
          <t>Monthly</t>
        </is>
      </c>
      <c r="K39" s="123" t="n"/>
      <c r="L39" s="123" t="n"/>
      <c r="M39" s="126">
        <f>IF(AND(ISNUMBER(K39),ISNUMBER(L39)),K39-L39,"")</f>
        <v/>
      </c>
      <c r="N39" s="124" t="inlineStr">
        <is>
          <t>Q1 Jul: B ₹400 · A ₹163 — 131 coding questions across 3 products.</t>
        </is>
      </c>
    </row>
    <row r="40" ht="32" customHeight="1">
      <c r="A40" s="123" t="n">
        <v>16</v>
      </c>
      <c r="B40" s="123" t="inlineStr">
        <is>
          <t>B</t>
        </is>
      </c>
      <c r="C40" s="124" t="inlineStr">
        <is>
          <t>Content Efficiency</t>
        </is>
      </c>
      <c r="D40" s="123" t="inlineStr">
        <is>
          <t>All</t>
        </is>
      </c>
      <c r="E40" s="123" t="inlineStr">
        <is>
          <t>All</t>
        </is>
      </c>
      <c r="F40" s="125" t="inlineStr">
        <is>
          <t>Cost per Branding Content Asset</t>
        </is>
      </c>
      <c r="G40" s="124" t="inlineStr">
        <is>
          <t>Average cost to create one branded content piece.</t>
        </is>
      </c>
      <c r="H40" s="124" t="inlineStr">
        <is>
          <t>enabling → dept Cost per Branding Asset (§5 Content Efficiency)</t>
        </is>
      </c>
      <c r="I40" s="123" t="inlineStr">
        <is>
          <t>INR</t>
        </is>
      </c>
      <c r="J40" s="123" t="inlineStr">
        <is>
          <t>Monthly</t>
        </is>
      </c>
      <c r="K40" s="123" t="n"/>
      <c r="L40" s="123" t="n"/>
      <c r="M40" s="126">
        <f>IF(AND(ISNUMBER(K40),ISNUMBER(L40)),K40-L40,"")</f>
        <v/>
      </c>
      <c r="N40" s="124" t="inlineStr">
        <is>
          <t>Q1 Jul: B 0 · A 0.</t>
        </is>
      </c>
    </row>
    <row r="41" ht="58" customHeight="1">
      <c r="A41" s="123" t="n">
        <v>17</v>
      </c>
      <c r="B41" s="123" t="inlineStr">
        <is>
          <t>B</t>
        </is>
      </c>
      <c r="C41" s="124" t="inlineStr">
        <is>
          <t>Content Efficiency</t>
        </is>
      </c>
      <c r="D41" s="123" t="inlineStr">
        <is>
          <t>All</t>
        </is>
      </c>
      <c r="E41" s="123" t="inlineStr">
        <is>
          <t>All</t>
        </is>
      </c>
      <c r="F41" s="125" t="inlineStr">
        <is>
          <t>Platform Runtime Cost per Active Learner</t>
        </is>
      </c>
      <c r="G41" s="124" t="inlineStr">
        <is>
          <t>Total platform delivery costs (cloud compute, code-execution infra, cloud IDE hosting, GenAI API calls) divided by active learners in the period. Tracks delivery-cost efficiency as usage scales.</t>
        </is>
      </c>
      <c r="H41" s="124" t="inlineStr">
        <is>
          <t>enabling → dept Platform Runtime Cost per Active Learner (§5) — the team's share of delivery cost</t>
        </is>
      </c>
      <c r="I41" s="123" t="inlineStr">
        <is>
          <t>INR</t>
        </is>
      </c>
      <c r="J41" s="123" t="inlineStr">
        <is>
          <t>Monthly</t>
        </is>
      </c>
      <c r="K41" s="123" t="n"/>
      <c r="L41" s="123" t="n"/>
      <c r="M41" s="126">
        <f>IF(AND(ISNUMBER(K41),ISNUMBER(L41)),K41-L41,"")</f>
        <v/>
      </c>
      <c r="N41" s="124" t="inlineStr"/>
    </row>
    <row r="42" ht="92" customHeight="1">
      <c r="A42" s="123" t="n">
        <v>18</v>
      </c>
      <c r="B42" s="123" t="inlineStr">
        <is>
          <t>B</t>
        </is>
      </c>
      <c r="C42" s="124" t="inlineStr">
        <is>
          <t>Content Relevance</t>
        </is>
      </c>
      <c r="D42" s="123" t="inlineStr">
        <is>
          <t>All</t>
        </is>
      </c>
      <c r="E42" s="123" t="inlineStr">
        <is>
          <t>All</t>
        </is>
      </c>
      <c r="F42" s="125" t="inlineStr">
        <is>
          <t>Tech Stack Freshness Rate</t>
        </is>
      </c>
      <c r="G42" s="124" t="inlineStr">
        <is>
          <t>% of the team's assigned topics refreshed inside their 6-month cycle. A topic = PPT + recorded video session + practice content + quiz content (plus question pools, adaptivity and the domain learning environment wherever the topic carries them); the Domain Catalogue's hours ≈ the topic count, so the catalogue is the surface of record. A refresh reworks the topic against the feedback that landed on it — reactive and proactive channels both — and is capacity-planned as a from-scratch rebuild, not a patch. Version currency (tools, frameworks, libraries and the IDE / playground / cloud setups on current stable or LTS) is audited inside every refresh.</t>
        </is>
      </c>
      <c r="H42" s="124" t="inlineStr">
        <is>
          <t>enabling → tracker Industry Update Adherence — the topic-refresh audit behind relevance</t>
        </is>
      </c>
      <c r="I42" s="123" t="inlineStr">
        <is>
          <t>%</t>
        </is>
      </c>
      <c r="J42" s="123" t="inlineStr">
        <is>
          <t>Monthly</t>
        </is>
      </c>
      <c r="K42" s="123" t="n"/>
      <c r="L42" s="123" t="n"/>
      <c r="M42" s="126">
        <f>IF(AND(ISNUMBER(K42),ISNUMBER(L42)),K42-L42,"")</f>
        <v/>
      </c>
      <c r="N42" s="124" t="inlineStr">
        <is>
          <t>Q1 Jul: B 100 · A 100. Workload standard behind the number: one AI Engineer's surface ≈ 100 topics at FullStack / GenAI complexity per 6-month cycle · Senior AI Engineer ≈ 2× that, complexity-weighted. Domain complexity scales the target: a lighter-refresh surface (English, Aptitude, programming fundamentals, CS Core, Mathematics, DS &amp; Algo) carries roughly double the topic count of a FullStack / GenAI surface, and those roles are weighed more aggressively on Learning Systems Design and Production Systems — the refresh itself costs less there, so the invention and the agent build are where the load sits. Every topic is assumed rebuilt from scratch when refreshed: that is the capacity assumption, not a claim that everything changed.</t>
        </is>
      </c>
    </row>
    <row r="43" ht="45" customHeight="1">
      <c r="A43" s="123" t="n">
        <v>19</v>
      </c>
      <c r="B43" s="123" t="inlineStr">
        <is>
          <t>B</t>
        </is>
      </c>
      <c r="C43" s="124" t="inlineStr">
        <is>
          <t>Stakeholder Alignment</t>
        </is>
      </c>
      <c r="D43" s="123" t="inlineStr">
        <is>
          <t>All</t>
        </is>
      </c>
      <c r="E43" s="123" t="inlineStr">
        <is>
          <t>All</t>
        </is>
      </c>
      <c r="F43" s="125" t="inlineStr">
        <is>
          <t>Stakeholder Content Request Fulfillment Rate</t>
        </is>
      </c>
      <c r="G43" s="124" t="inlineStr">
        <is>
          <t>Requests from Sales, Placements, Program Ops, Assessments and Instructors fulfilled within agreed timeframes across all products.</t>
        </is>
      </c>
      <c r="H43" s="124" t="inlineStr">
        <is>
          <t>enabling → dept Stakeholder Alignment (§5)</t>
        </is>
      </c>
      <c r="I43" s="123" t="inlineStr">
        <is>
          <t>%</t>
        </is>
      </c>
      <c r="J43" s="123" t="inlineStr">
        <is>
          <t>Monthly</t>
        </is>
      </c>
      <c r="K43" s="123" t="n"/>
      <c r="L43" s="123" t="n"/>
      <c r="M43" s="126">
        <f>IF(AND(ISNUMBER(K43),ISNUMBER(L43)),K43-L43,"")</f>
        <v/>
      </c>
      <c r="N43" s="124" t="inlineStr">
        <is>
          <t>Q1 Jul: B 90 · A 90.</t>
        </is>
      </c>
    </row>
    <row r="44" ht="58" customHeight="1">
      <c r="A44" s="123" t="n">
        <v>20</v>
      </c>
      <c r="B44" s="123" t="inlineStr">
        <is>
          <t>B</t>
        </is>
      </c>
      <c r="C44" s="124" t="inlineStr">
        <is>
          <t>Stakeholder Alignment</t>
        </is>
      </c>
      <c r="D44" s="123" t="inlineStr">
        <is>
          <t>All</t>
        </is>
      </c>
      <c r="E44" s="123" t="inlineStr">
        <is>
          <t>All</t>
        </is>
      </c>
      <c r="F44" s="125" t="inlineStr">
        <is>
          <t>Cross-functional Sprint Delivery Rate</t>
        </is>
      </c>
      <c r="G44" s="124" t="inlineStr">
        <is>
          <t>% of committed tickets across Product, Pedagogy, Engineering, UI/UX and DA/DE — scoped and approved by this team — delivered within the committed sprint.</t>
        </is>
      </c>
      <c r="H44" s="124" t="inlineStr">
        <is>
          <t>enabling → dept Stakeholder Alignment (§5)</t>
        </is>
      </c>
      <c r="I44" s="123" t="inlineStr">
        <is>
          <t>%</t>
        </is>
      </c>
      <c r="J44" s="123" t="inlineStr">
        <is>
          <t>Monthly</t>
        </is>
      </c>
      <c r="K44" s="123" t="n"/>
      <c r="L44" s="123" t="n"/>
      <c r="M44" s="126">
        <f>IF(AND(ISNUMBER(K44),ISNUMBER(L44)),K44-L44,"")</f>
        <v/>
      </c>
      <c r="N44" s="124" t="inlineStr">
        <is>
          <t>Q1 Jul: B 100 · A 100.</t>
        </is>
      </c>
    </row>
    <row r="45" ht="84" customHeight="1">
      <c r="A45" s="123" t="n">
        <v>21</v>
      </c>
      <c r="B45" s="123" t="inlineStr">
        <is>
          <t>B</t>
        </is>
      </c>
      <c r="C45" s="124" t="inlineStr">
        <is>
          <t>Domain Product Enablement</t>
        </is>
      </c>
      <c r="D45" s="123" t="inlineStr">
        <is>
          <t>All</t>
        </is>
      </c>
      <c r="E45" s="123" t="inlineStr">
        <is>
          <t>All</t>
        </is>
      </c>
      <c r="F45" s="125" t="inlineStr">
        <is>
          <t>Evaluation Environment Coverage</t>
        </is>
      </c>
      <c r="G45" s="124" t="inlineStr">
        <is>
          <t>% of practice/assessment item types in this domain's live curriculum with a production-ready evaluation environment (code judges, test harnesses, notebook/cloud envs). Domain configuration — item types, test cases, judges — by this team's SMEs; platform build by Product Managers + Engineering.</t>
        </is>
      </c>
      <c r="H45" s="124" t="inlineStr">
        <is>
          <t>enabling → Practice Attempt-to-Completion (environment-friction leg) + tracker Journey Step Health steps 6–7 + Learning Environment Satisfaction</t>
        </is>
      </c>
      <c r="I45" s="123" t="inlineStr">
        <is>
          <t>%</t>
        </is>
      </c>
      <c r="J45" s="123" t="inlineStr">
        <is>
          <t>Quarterly</t>
        </is>
      </c>
      <c r="K45" s="123" t="n"/>
      <c r="L45" s="123" t="n"/>
      <c r="M45" s="126">
        <f>IF(AND(ISNUMBER(K45),ISNUMBER(L45)),K45-L45,"")</f>
        <v/>
      </c>
      <c r="N45" s="124" t="inlineStr">
        <is>
          <t>Baseline first: build the item-type × environment registry, then set the budget (APC precedent). Pre-agreed evolution: at ~90% coverage or after two cycles, EEC + DCD fold into one funnel KPI — raised → accepted → delivered rate + TAT, with capabilities-raised/quarter as a non-budgeted context line.</t>
        </is>
      </c>
    </row>
    <row r="46" ht="71" customHeight="1">
      <c r="A46" s="123" t="n">
        <v>22</v>
      </c>
      <c r="B46" s="123" t="inlineStr">
        <is>
          <t>B</t>
        </is>
      </c>
      <c r="C46" s="124" t="inlineStr">
        <is>
          <t>Domain Product Enablement</t>
        </is>
      </c>
      <c r="D46" s="123" t="inlineStr">
        <is>
          <t>All</t>
        </is>
      </c>
      <c r="E46" s="123" t="inlineStr">
        <is>
          <t>All</t>
        </is>
      </c>
      <c r="F46" s="125" t="inlineStr">
        <is>
          <t>Domain Capability Delivery</t>
        </is>
      </c>
      <c r="G46" s="124" t="inlineStr">
        <is>
          <t>Domain-specific learning-platform capabilities shipped vs committed per cycle. Raised and specified by this team's SMEs; built by Product Managers + Engineering; accountability stays here — the ask and the acceptance are domain-owned.</t>
        </is>
      </c>
      <c r="H46" s="124" t="inlineStr">
        <is>
          <t>enabling → dept Platform Capability Configuration Coverage (§5) + the LP capability registry</t>
        </is>
      </c>
      <c r="I46" s="123" t="inlineStr">
        <is>
          <t>%</t>
        </is>
      </c>
      <c r="J46" s="123" t="inlineStr">
        <is>
          <t>Quarterly</t>
        </is>
      </c>
      <c r="K46" s="123" t="n"/>
      <c r="L46" s="123" t="n"/>
      <c r="M46" s="126">
        <f>IF(AND(ISNUMBER(K46),ISNUMBER(L46)),K46-L46,"")</f>
        <v/>
      </c>
      <c r="N46" s="124" t="inlineStr">
        <is>
          <t>Generic/reusable capabilities rest with the Learning Platform lane (product-owned), not here. Folds into the raised → accepted → delivered funnel with EEC when the trigger lands (see EEC remark + Legend).</t>
        </is>
      </c>
    </row>
    <row r="47" ht="92" customHeight="1">
      <c r="A47" s="123" t="n">
        <v>23</v>
      </c>
      <c r="B47" s="123" t="inlineStr">
        <is>
          <t>B</t>
        </is>
      </c>
      <c r="C47" s="124" t="inlineStr">
        <is>
          <t>Team Ops &amp; People</t>
        </is>
      </c>
      <c r="D47" s="123" t="inlineStr">
        <is>
          <t>All</t>
        </is>
      </c>
      <c r="E47" s="123" t="inlineStr">
        <is>
          <t>All</t>
        </is>
      </c>
      <c r="F47" s="125" t="inlineStr">
        <is>
          <t>Cost of Operations</t>
        </is>
      </c>
      <c r="G47" s="124" t="inlineStr">
        <is>
          <t>Monthly cost of running the team's operating rhythm: manager–reportee one-on-ones, roadmap reviews (Head-approved), standups &amp; learning hours, monthly check-in scheduling &amp; documentation, team assets (laptops, systems), ClickUp adoption &amp; status freshness, worklog capture, newsletters, team outings and cycle-wise appraisals — plus operational-efficiency and market-analysis work. Worklog capture is the load-bearing activity: it is what makes deliverable costing computable.</t>
        </is>
      </c>
      <c r="H47" s="124" t="inlineStr">
        <is>
          <t>hygiene — team run-cost guardrail; no org ladder by design</t>
        </is>
      </c>
      <c r="I47" s="123" t="inlineStr">
        <is>
          <t>INR</t>
        </is>
      </c>
      <c r="J47" s="123" t="inlineStr">
        <is>
          <t>Monthly</t>
        </is>
      </c>
      <c r="K47" s="123" t="n"/>
      <c r="L47" s="123" t="n"/>
      <c r="M47" s="126">
        <f>IF(AND(ISNUMBER(K47),ISNUMBER(L47)),K47-L47,"")</f>
        <v/>
      </c>
      <c r="N47" s="124" t="inlineStr">
        <is>
          <t>Full ops register (so nothing is forgotten): monthly manager–reportee one-on-ones · scheduling roadmap review meetings + Head approval · day-to-day ops (standups, learning hours) · scheduling monthly check-in meets &amp; documenting them in the right place · maintaining team assets (laptops, systems) · ensuring ClickUp adoption · keeping deliverable statuses up to date · monthly worklog capture → deliverable costs computed for the check-in · generating newsletters monthly · conducting team outings · conducting cycle-wise appraisal meetings. Replaces Operations &amp; Growth Cost — Jul A ₹300,863 spans ops + hiring; worklog capture splits it from next month. Sub-metrics per activity (one-on-one coverage, status freshness…) get added as reads emerge. Run by the team's PM (reports to the Lead; KPI cascades Lead → PM).</t>
        </is>
      </c>
    </row>
    <row r="48" ht="58" customHeight="1">
      <c r="A48" s="123" t="n">
        <v>24</v>
      </c>
      <c r="B48" s="123" t="inlineStr">
        <is>
          <t>B</t>
        </is>
      </c>
      <c r="C48" s="124" t="inlineStr">
        <is>
          <t>Team Ops &amp; People</t>
        </is>
      </c>
      <c r="D48" s="123" t="inlineStr">
        <is>
          <t>All</t>
        </is>
      </c>
      <c r="E48" s="123" t="inlineStr">
        <is>
          <t>All</t>
        </is>
      </c>
      <c r="F48" s="125" t="inlineStr">
        <is>
          <t>Roadmap Items Completion</t>
        </is>
      </c>
      <c r="G48" s="124" t="inlineStr">
        <is>
          <t>Of the roadmap items committed for the cycle — reviewed in the roadmap meetings the PM schedules and approved by the Head — the % completed. The execution-predictability read for the team's own plan.</t>
        </is>
      </c>
      <c r="H48" s="124" t="inlineStr">
        <is>
          <t>hygiene — execution-predictability guardrail; no org ladder by design</t>
        </is>
      </c>
      <c r="I48" s="123" t="inlineStr">
        <is>
          <t>%</t>
        </is>
      </c>
      <c r="J48" s="123" t="inlineStr">
        <is>
          <t>Monthly</t>
        </is>
      </c>
      <c r="K48" s="123" t="n"/>
      <c r="L48" s="123" t="n"/>
      <c r="M48" s="126">
        <f>IF(AND(ISNUMBER(K48),ISNUMBER(L48)),K48-L48,"")</f>
        <v/>
      </c>
      <c r="N48" s="124" t="inlineStr">
        <is>
          <t>Cycle-anchored: the commitment is the Head-approved cycle roadmap; the % is read monthly as items land. Run by the team's PM.</t>
        </is>
      </c>
    </row>
    <row r="49" ht="45" customHeight="1">
      <c r="A49" s="123" t="n">
        <v>25</v>
      </c>
      <c r="B49" s="123" t="inlineStr">
        <is>
          <t>B</t>
        </is>
      </c>
      <c r="C49" s="124" t="inlineStr">
        <is>
          <t>Team Ops &amp; People</t>
        </is>
      </c>
      <c r="D49" s="123" t="inlineStr">
        <is>
          <t>All</t>
        </is>
      </c>
      <c r="E49" s="123" t="inlineStr">
        <is>
          <t>All</t>
        </is>
      </c>
      <c r="F49" s="125" t="inlineStr">
        <is>
          <t>Hires Made</t>
        </is>
      </c>
      <c r="G49" s="124" t="inlineStr">
        <is>
          <t>Offers joined against the team's approved hiring plan for the period. Reads whether the team is growing at the planned pace.</t>
        </is>
      </c>
      <c r="H49" s="124" t="inlineStr">
        <is>
          <t>hygiene — hiring-plan guardrail; no org ladder by design</t>
        </is>
      </c>
      <c r="I49" s="123" t="inlineStr">
        <is>
          <t>Count</t>
        </is>
      </c>
      <c r="J49" s="123" t="inlineStr">
        <is>
          <t>Monthly</t>
        </is>
      </c>
      <c r="K49" s="123" t="n"/>
      <c r="L49" s="123" t="n"/>
      <c r="M49" s="126">
        <f>IF(AND(ISNUMBER(K49),ISNUMBER(L49)),K49-L49,"")</f>
        <v/>
      </c>
      <c r="N49" s="124" t="inlineStr">
        <is>
          <t>Budget = the approved hiring plan. Run by the team's PM; hiring decisions stay with the Lead.</t>
        </is>
      </c>
    </row>
    <row r="50" ht="45" customHeight="1">
      <c r="A50" s="123" t="n">
        <v>26</v>
      </c>
      <c r="B50" s="123" t="inlineStr">
        <is>
          <t>B</t>
        </is>
      </c>
      <c r="C50" s="124" t="inlineStr">
        <is>
          <t>Team Ops &amp; People</t>
        </is>
      </c>
      <c r="D50" s="123" t="inlineStr">
        <is>
          <t>All</t>
        </is>
      </c>
      <c r="E50" s="123" t="inlineStr">
        <is>
          <t>All</t>
        </is>
      </c>
      <c r="F50" s="125" t="inlineStr">
        <is>
          <t>Cost per Hire</t>
        </is>
      </c>
      <c r="G50" s="124" t="inlineStr">
        <is>
          <t>Average cost per closed hire — sourcing, interview bandwidth and onboarding effort attributed to hiring for this team.</t>
        </is>
      </c>
      <c r="H50" s="124" t="inlineStr">
        <is>
          <t>hygiene — hiring-efficiency guardrail; no org ladder by design</t>
        </is>
      </c>
      <c r="I50" s="123" t="inlineStr">
        <is>
          <t>INR</t>
        </is>
      </c>
      <c r="J50" s="123" t="inlineStr">
        <is>
          <t>Monthly</t>
        </is>
      </c>
      <c r="K50" s="123" t="n"/>
      <c r="L50" s="123" t="n"/>
      <c r="M50" s="126">
        <f>IF(AND(ISNUMBER(K50),ISNUMBER(L50)),K50-L50,"")</f>
        <v/>
      </c>
      <c r="N50" s="124" t="inlineStr">
        <is>
          <t>Hiring cost split out of the old Operations &amp; Growth Cost row — worklogs attribute the interview bandwidth. Run by the team's PM.</t>
        </is>
      </c>
    </row>
    <row r="51" ht="71" customHeight="1">
      <c r="A51" s="123" t="n">
        <v>27</v>
      </c>
      <c r="B51" s="123" t="inlineStr">
        <is>
          <t>B</t>
        </is>
      </c>
      <c r="C51" s="124" t="inlineStr">
        <is>
          <t>Team Ops &amp; People</t>
        </is>
      </c>
      <c r="D51" s="123" t="inlineStr">
        <is>
          <t>All</t>
        </is>
      </c>
      <c r="E51" s="123" t="inlineStr">
        <is>
          <t>All</t>
        </is>
      </c>
      <c r="F51" s="125" t="inlineStr">
        <is>
          <t>Team Retention Rate</t>
        </is>
      </c>
      <c r="G51" s="124" t="inlineStr">
        <is>
          <t>% of cycle-start team members still on the team at the appraisal cycle's end, on a trailing 12-month window. Internal transfers don't count against the team; regrettable exits are flagged by the Lead in the remark.</t>
        </is>
      </c>
      <c r="H51" s="124" t="inlineStr">
        <is>
          <t>hygiene — team-health guardrail; no org ladder by design</t>
        </is>
      </c>
      <c r="I51" s="123" t="inlineStr">
        <is>
          <t>%</t>
        </is>
      </c>
      <c r="J51" s="123" t="inlineStr">
        <is>
          <t>Per appraisal cycle</t>
        </is>
      </c>
      <c r="K51" s="123" t="n"/>
      <c r="L51" s="123" t="n"/>
      <c r="M51" s="126">
        <f>IF(AND(ISNUMBER(K51),ISNUMBER(L51)),K51-L51,"")</f>
        <v/>
      </c>
      <c r="N51" s="124" t="inlineStr">
        <is>
          <t>Trailing 12 months smooths small-team noise (one exit is a big % swing). Lead-driven outcome; the PM carries the machinery and the number.</t>
        </is>
      </c>
    </row>
    <row r="52" ht="45" customHeight="1">
      <c r="A52" s="123" t="n">
        <v>28</v>
      </c>
      <c r="B52" s="123" t="inlineStr">
        <is>
          <t>B</t>
        </is>
      </c>
      <c r="C52" s="124" t="inlineStr">
        <is>
          <t>Team Ops &amp; People</t>
        </is>
      </c>
      <c r="D52" s="123" t="inlineStr">
        <is>
          <t>All</t>
        </is>
      </c>
      <c r="E52" s="123" t="inlineStr">
        <is>
          <t>All</t>
        </is>
      </c>
      <c r="F52" s="125" t="inlineStr">
        <is>
          <t>Power Performers Created</t>
        </is>
      </c>
      <c r="G52" s="124" t="inlineStr">
        <is>
          <t>Team members newly reaching the top appraisal band in the cycle-wise appraisal. The direct metric for 'developing the best (mentoring subordinates)'.</t>
        </is>
      </c>
      <c r="H52" s="124" t="inlineStr">
        <is>
          <t>enabling → the §5 'developing the best (mentoring subordinates)' intent — its first direct metric</t>
        </is>
      </c>
      <c r="I52" s="123" t="inlineStr">
        <is>
          <t>Count</t>
        </is>
      </c>
      <c r="J52" s="123" t="inlineStr">
        <is>
          <t>Per appraisal cycle</t>
        </is>
      </c>
      <c r="K52" s="123" t="n"/>
      <c r="L52" s="123" t="n"/>
      <c r="M52" s="126">
        <f>IF(AND(ISNUMBER(K52),ISNUMBER(L52)),K52-L52,"")</f>
        <v/>
      </c>
      <c r="N52" s="124" t="inlineStr">
        <is>
          <t>Top band per the cycle-wise appraisal; mentoring by managers and the Lead is the driver. Lead-driven outcome; the PM runs the appraisal machinery and carries the number.</t>
        </is>
      </c>
    </row>
    <row r="53" ht="58" customHeight="1">
      <c r="A53" s="123" t="n">
        <v>29</v>
      </c>
      <c r="B53" s="123" t="inlineStr">
        <is>
          <t>B</t>
        </is>
      </c>
      <c r="C53" s="124" t="inlineStr">
        <is>
          <t>Team Ops &amp; People</t>
        </is>
      </c>
      <c r="D53" s="123" t="inlineStr">
        <is>
          <t>All</t>
        </is>
      </c>
      <c r="E53" s="123" t="inlineStr">
        <is>
          <t>All</t>
        </is>
      </c>
      <c r="F53" s="125" t="inlineStr">
        <is>
          <t>Creative Resource Utilisation Rate</t>
        </is>
      </c>
      <c r="G53" s="124" t="inlineStr">
        <is>
          <t>% of allocated Graphic Designer and Video Editor bandwidth utilised against planned branding and content-asset deliverables within a cycle. Primarily tracked and managed by Project Managers.</t>
        </is>
      </c>
      <c r="H53" s="124" t="inlineStr">
        <is>
          <t>hygiene — creative bandwidth guardrail (PM-managed); no org ladder by design</t>
        </is>
      </c>
      <c r="I53" s="123" t="inlineStr">
        <is>
          <t>%</t>
        </is>
      </c>
      <c r="J53" s="123" t="inlineStr">
        <is>
          <t>Monthly</t>
        </is>
      </c>
      <c r="K53" s="123" t="n"/>
      <c r="L53" s="123" t="n"/>
      <c r="M53" s="126">
        <f>IF(AND(ISNUMBER(K53),ISNUMBER(L53)),K53-L53,"")</f>
        <v/>
      </c>
      <c r="N53" s="124" t="inlineStr">
        <is>
          <t>Q1 Jul: A 100% — fully utilised, at times stretched.</t>
        </is>
      </c>
    </row>
    <row r="54" ht="26" customHeight="1">
      <c r="A54" s="129" t="inlineStr">
        <is>
          <t>C — Asks: what this team needs from counterparties (thin interface contracts — reviewed monthly)</t>
        </is>
      </c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40" customHeight="1">
      <c r="A55" s="130" t="n">
        <v>1</v>
      </c>
      <c r="B55" s="130" t="inlineStr">
        <is>
          <t>C</t>
        </is>
      </c>
      <c r="C55" s="131" t="inlineStr">
        <is>
          <t>Assessments team</t>
        </is>
      </c>
      <c r="D55" s="130" t="n"/>
      <c r="E55" s="130" t="n"/>
      <c r="F55" s="132" t="inlineStr">
        <is>
          <t>Assessment blueprints per cycle</t>
        </is>
      </c>
      <c r="G55" s="131" t="inlineStr">
        <is>
          <t>Skill-assessment blueprints + knowledge points shared before authoring each cycle; changes communicated — feeds Content–Assessment Alignment (§7 ask).</t>
        </is>
      </c>
      <c r="H55" s="131" t="n"/>
      <c r="I55" s="130" t="n"/>
      <c r="J55" s="130" t="n"/>
      <c r="K55" s="130" t="n"/>
      <c r="L55" s="130" t="n"/>
      <c r="M55" s="130" t="n"/>
      <c r="N55" s="131" t="n"/>
    </row>
    <row r="56" ht="40" customHeight="1">
      <c r="A56" s="130" t="n">
        <v>2</v>
      </c>
      <c r="B56" s="130" t="inlineStr">
        <is>
          <t>C</t>
        </is>
      </c>
      <c r="C56" s="131" t="inlineStr">
        <is>
          <t>Learning Platform / DA-DEs</t>
        </is>
      </c>
      <c r="D56" s="130" t="n"/>
      <c r="E56" s="130" t="n"/>
      <c r="F56" s="132" t="inlineStr">
        <is>
          <t>Engagement &amp; LE dashboards</t>
        </is>
      </c>
      <c r="G56" s="131" t="inlineStr">
        <is>
          <t>Monthly LE + engagement-matrix cuts per domain — budgets for Cell Migration and module-quiz Bands come from here. Course-completion cuts included as a read-only view: completion is conduction-driven (Program Ops); the team's owned stickiness KPIs are Learner-Accessed Completion + Practice Attempt-to-Completion.</t>
        </is>
      </c>
      <c r="H56" s="131" t="n"/>
      <c r="I56" s="130" t="n"/>
      <c r="J56" s="130" t="n"/>
      <c r="K56" s="130" t="n"/>
      <c r="L56" s="130" t="n"/>
      <c r="M56" s="130" t="n"/>
      <c r="N56" s="131" t="n"/>
    </row>
    <row r="57" ht="40" customHeight="1">
      <c r="A57" s="130" t="n">
        <v>3</v>
      </c>
      <c r="B57" s="130" t="inlineStr">
        <is>
          <t>C</t>
        </is>
      </c>
      <c r="C57" s="131" t="inlineStr">
        <is>
          <t>Learning Platform (PMs + Engineering)</t>
        </is>
      </c>
      <c r="D57" s="130" t="n"/>
      <c r="E57" s="130" t="n"/>
      <c r="F57" s="132" t="inlineStr">
        <is>
          <t>Domain-specific capability build</t>
        </is>
      </c>
      <c r="G57" s="131" t="inlineStr">
        <is>
          <t>Build slots for domain-raised capabilities and evaluation environments — SMEs here raise and accept; PMs + Engineering build. Boundary: generic/reusable capability = Learning Platform lane (product-owned) · domain-specific instance = KPI here, in Learning Domains · ACP = content-facing production pipelines, domain product work = learner-facing systems.</t>
        </is>
      </c>
      <c r="H57" s="131" t="n"/>
      <c r="I57" s="130" t="n"/>
      <c r="J57" s="130" t="n"/>
      <c r="K57" s="130" t="n"/>
      <c r="L57" s="130" t="n"/>
      <c r="M57" s="130" t="n"/>
      <c r="N57" s="131" t="n"/>
    </row>
    <row r="58" ht="40" customHeight="1">
      <c r="A58" s="130" t="n">
        <v>4</v>
      </c>
      <c r="B58" s="130" t="inlineStr">
        <is>
          <t>C</t>
        </is>
      </c>
      <c r="C58" s="131" t="inlineStr">
        <is>
          <t>Instructors dept + Program Ops</t>
        </is>
      </c>
      <c r="D58" s="130" t="n"/>
      <c r="E58" s="130" t="n"/>
      <c r="F58" s="132" t="inlineStr">
        <is>
          <t>Classroom signal loop</t>
        </is>
      </c>
      <c r="G58" s="131" t="inlineStr">
        <is>
          <t>Structured instructor feedback + conduction context per module — feeds content iteration and Content Issue routing.</t>
        </is>
      </c>
      <c r="H58" s="131" t="n"/>
      <c r="I58" s="130" t="n"/>
      <c r="J58" s="130" t="n"/>
      <c r="K58" s="130" t="n"/>
      <c r="L58" s="130" t="n"/>
      <c r="M58" s="130" t="n"/>
      <c r="N58" s="131" t="n"/>
    </row>
  </sheetData>
  <mergeCells count="9">
    <mergeCell ref="G55:N55"/>
    <mergeCell ref="G56:N56"/>
    <mergeCell ref="A4:N4"/>
    <mergeCell ref="A24:N24"/>
    <mergeCell ref="A54:N54"/>
    <mergeCell ref="A2:N2"/>
    <mergeCell ref="G57:N57"/>
    <mergeCell ref="G58:N58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EDA100"/>
    <outlinePr summaryBelow="1" summaryRight="1"/>
    <pageSetUpPr/>
  </sheetPr>
  <dimension ref="A1:N17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6" customWidth="1" min="3" max="3"/>
    <col width="10" customWidth="1" min="4" max="4"/>
    <col width="9" customWidth="1" min="5" max="5"/>
    <col width="28" customWidth="1" min="6" max="6"/>
    <col width="46" customWidth="1" min="7" max="7"/>
    <col width="28" customWidth="1" min="8" max="8"/>
    <col width="9" customWidth="1" min="9" max="9"/>
    <col width="10" customWidth="1" min="10" max="10"/>
    <col width="11" customWidth="1" min="11" max="11"/>
    <col width="11" customWidth="1" min="12" max="12"/>
    <col width="10" customWidth="1" min="13" max="13"/>
    <col width="32" customWidth="1" min="14" max="14"/>
  </cols>
  <sheetData>
    <row r="1" ht="24" customHeight="1">
      <c r="A1" s="137" t="inlineStr">
        <is>
          <t>Content–Central — Functional Operating View · FY 2026-27</t>
        </is>
      </c>
    </row>
    <row r="2" ht="30" customHeight="1">
      <c r="A2" s="116" t="inlineStr">
        <is>
          <t>Shared/PMO lane — the central two-person team: a Business Ops owner (shared-team delivery + Agentic Content Platform builds; reports to the HOD) with a PMO manager reporting to them — role titles pending. Section A mirrors the department tracker (live formulas — numbers are edited on the KPI Tracker tab only) · Section B is owned here, budgets &amp; actuals live on this tab · Section C = asks of counterparties.</t>
        </is>
      </c>
    </row>
    <row r="3" ht="20" customHeight="1">
      <c r="A3" s="138" t="inlineStr">
        <is>
          <t>S. No</t>
        </is>
      </c>
      <c r="B3" s="138" t="inlineStr">
        <is>
          <t>Sect</t>
        </is>
      </c>
      <c r="C3" s="138" t="inlineStr">
        <is>
          <t>Metric category</t>
        </is>
      </c>
      <c r="D3" s="138" t="inlineStr">
        <is>
          <t>Product</t>
        </is>
      </c>
      <c r="E3" s="138" t="inlineStr">
        <is>
          <t>Cohort</t>
        </is>
      </c>
      <c r="F3" s="138" t="inlineStr">
        <is>
          <t>KPI name</t>
        </is>
      </c>
      <c r="G3" s="138" t="inlineStr">
        <is>
          <t>Description</t>
        </is>
      </c>
      <c r="H3" s="138" t="inlineStr">
        <is>
          <t>Ladders to</t>
        </is>
      </c>
      <c r="I3" s="138" t="inlineStr">
        <is>
          <t>Unit</t>
        </is>
      </c>
      <c r="J3" s="138" t="inlineStr">
        <is>
          <t>Freq</t>
        </is>
      </c>
      <c r="K3" s="138" t="inlineStr">
        <is>
          <t>Budgeted</t>
        </is>
      </c>
      <c r="L3" s="138" t="inlineStr">
        <is>
          <t>Actual</t>
        </is>
      </c>
      <c r="M3" s="138" t="inlineStr">
        <is>
          <t>Variance</t>
        </is>
      </c>
      <c r="N3" s="138" t="inlineStr">
        <is>
          <t>Remarks</t>
        </is>
      </c>
    </row>
    <row r="4" ht="26" customHeight="1">
      <c r="A4" s="139" t="inlineStr">
        <is>
          <t>A — Inherited: org-KRA rows this team is on the hook for (live mirror — numbers live on the KPI Tracker tab; edit there)</t>
        </is>
      </c>
      <c r="B4" s="119" t="n"/>
      <c r="C4" s="119" t="n"/>
      <c r="D4" s="119" t="n"/>
      <c r="E4" s="119" t="n"/>
      <c r="F4" s="119" t="n"/>
      <c r="G4" s="119" t="n"/>
      <c r="H4" s="119" t="n"/>
      <c r="I4" s="119" t="n"/>
      <c r="J4" s="119" t="n"/>
      <c r="K4" s="119" t="n"/>
      <c r="L4" s="119" t="n"/>
      <c r="M4" s="119" t="n"/>
      <c r="N4" s="119" t="n"/>
    </row>
    <row r="5" ht="84" customHeight="1">
      <c r="A5" s="140" t="inlineStr">
        <is>
          <t>T15</t>
        </is>
      </c>
      <c r="B5" s="140" t="inlineStr">
        <is>
          <t>A</t>
        </is>
      </c>
      <c r="C5" s="141">
        <f>IF('KPI Tracker FY26-27'!C18="","",'KPI Tracker FY26-27'!C18)</f>
        <v/>
      </c>
      <c r="D5" s="140">
        <f>IF('KPI Tracker FY26-27'!D18="","",'KPI Tracker FY26-27'!D18)</f>
        <v/>
      </c>
      <c r="E5" s="140">
        <f>IF('KPI Tracker FY26-27'!E18="","",'KPI Tracker FY26-27'!E18)</f>
        <v/>
      </c>
      <c r="F5" s="142">
        <f>IF('KPI Tracker FY26-27'!G18="","",'KPI Tracker FY26-27'!G18)</f>
        <v/>
      </c>
      <c r="G5" s="141">
        <f>IF('KPI Tracker FY26-27'!H18="","",'KPI Tracker FY26-27'!H18)</f>
        <v/>
      </c>
      <c r="H5" s="141" t="inlineStr">
        <is>
          <t>inherited — via Functions (col K) · Central read: units-at-bar — how many of the 5 learning-domain units hold ≥ 90 (a count, not a blended average); each domain owns its own slice in its own view (FS &amp; CS Core wired, others as their views land).</t>
        </is>
      </c>
      <c r="I5" s="140">
        <f>IF('KPI Tracker FY26-27'!M18="","",'KPI Tracker FY26-27'!M18)</f>
        <v/>
      </c>
      <c r="J5" s="140">
        <f>IF('KPI Tracker FY26-27'!N18="","",'KPI Tracker FY26-27'!N18)</f>
        <v/>
      </c>
      <c r="K5" s="140">
        <f>IF('KPI Tracker FY26-27'!O18="","",'KPI Tracker FY26-27'!O18)</f>
        <v/>
      </c>
      <c r="L5" s="140">
        <f>IF('KPI Tracker FY26-27'!P18="","",'KPI Tracker FY26-27'!P18)</f>
        <v/>
      </c>
      <c r="M5" s="140">
        <f>IF('KPI Tracker FY26-27'!Q18="","",'KPI Tracker FY26-27'!Q18)</f>
        <v/>
      </c>
      <c r="N5" s="141">
        <f>IF('KPI Tracker FY26-27'!R18="","",'KPI Tracker FY26-27'!R18)</f>
        <v/>
      </c>
    </row>
    <row r="6" ht="26" customHeight="1">
      <c r="A6" s="139" t="inlineStr">
        <is>
          <t>B — Owned: functional KPIs this team runs (budgets &amp; actuals live here) — Ladders-to key: direct = an org-KRA number · enabling = a dept §5 KPI · hygiene = guardrail by design</t>
        </is>
      </c>
      <c r="B6" s="119" t="n"/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</row>
    <row r="7" ht="84" customHeight="1">
      <c r="A7" s="123" t="n">
        <v>1</v>
      </c>
      <c r="B7" s="123" t="inlineStr">
        <is>
          <t>B</t>
        </is>
      </c>
      <c r="C7" s="124" t="inlineStr">
        <is>
          <t>Business Ops — Shared Teams</t>
        </is>
      </c>
      <c r="D7" s="123" t="inlineStr">
        <is>
          <t>All</t>
        </is>
      </c>
      <c r="E7" s="123" t="inlineStr">
        <is>
          <t>All</t>
        </is>
      </c>
      <c r="F7" s="125" t="inlineStr">
        <is>
          <t>Shared-Team Deliverables Landed</t>
        </is>
      </c>
      <c r="G7" s="124" t="inlineStr">
        <is>
          <t>Of the deliverables the shared-resource teams (Product, Engineering, DA/DEs, Product Design) committed to content work for the period, the % delivered and accepted. Acceptance sits with the requesting unit — Central verifies the register, not the work.</t>
        </is>
      </c>
      <c r="H7" s="124" t="inlineStr">
        <is>
          <t>enabling → dept Stakeholder Alignment (§5) — the delivery contract with the embedded shared teams</t>
        </is>
      </c>
      <c r="I7" s="123" t="inlineStr">
        <is>
          <t>%</t>
        </is>
      </c>
      <c r="J7" s="123" t="inlineStr">
        <is>
          <t>Monthly</t>
        </is>
      </c>
      <c r="K7" s="123" t="n"/>
      <c r="L7" s="123" t="n"/>
      <c r="M7" s="126">
        <f>IF(AND(ISNUMBER(K7),ISNUMBER(L7)),K7-L7,"")</f>
        <v/>
      </c>
      <c r="N7" s="124" t="inlineStr">
        <is>
          <t>Baseline first: Q1 builds the committed-deliverables register per shared team; budget set after one full cycle. Owned by the Business Ops lead.</t>
        </is>
      </c>
    </row>
    <row r="8" ht="71" customHeight="1">
      <c r="A8" s="123" t="n">
        <v>2</v>
      </c>
      <c r="B8" s="123" t="inlineStr">
        <is>
          <t>B</t>
        </is>
      </c>
      <c r="C8" s="124" t="inlineStr">
        <is>
          <t>Business Ops — Shared Teams</t>
        </is>
      </c>
      <c r="D8" s="123" t="inlineStr">
        <is>
          <t>All</t>
        </is>
      </c>
      <c r="E8" s="123" t="inlineStr">
        <is>
          <t>All</t>
        </is>
      </c>
      <c r="F8" s="125" t="inlineStr">
        <is>
          <t>Shared-Team Spend vs Plan</t>
        </is>
      </c>
      <c r="G8" s="124" t="inlineStr">
        <is>
          <t>Actual spend on shared-resource team allocations vs planned spend for the period. Reads over- and under-runs early; the value-for-spend judgment stays with the Business Ops owner at the monthly review.</t>
        </is>
      </c>
      <c r="H8" s="124" t="inlineStr">
        <is>
          <t>enabling → dept Content Efficiency (§5) — the ₹ side of the shared-team delivery contract</t>
        </is>
      </c>
      <c r="I8" s="123" t="inlineStr">
        <is>
          <t>%</t>
        </is>
      </c>
      <c r="J8" s="123" t="inlineStr">
        <is>
          <t>Monthly</t>
        </is>
      </c>
      <c r="K8" s="123" t="n"/>
      <c r="L8" s="123" t="n"/>
      <c r="M8" s="126">
        <f>IF(AND(ISNUMBER(K8),ISNUMBER(L8)),K8-L8,"")</f>
        <v/>
      </c>
      <c r="N8" s="124" t="inlineStr">
        <is>
          <t>Baseline first: plan numbers come from the allocation agreed with each function head; tolerance band set after one full cycle. Owned by the Business Ops lead.</t>
        </is>
      </c>
    </row>
    <row r="9" ht="92" customHeight="1">
      <c r="A9" s="123" t="n">
        <v>3</v>
      </c>
      <c r="B9" s="123" t="inlineStr">
        <is>
          <t>B</t>
        </is>
      </c>
      <c r="C9" s="124" t="inlineStr">
        <is>
          <t>Business Ops — Shared Teams</t>
        </is>
      </c>
      <c r="D9" s="123" t="inlineStr">
        <is>
          <t>All</t>
        </is>
      </c>
      <c r="E9" s="123" t="inlineStr">
        <is>
          <t>All</t>
        </is>
      </c>
      <c r="F9" s="125" t="inlineStr">
        <is>
          <t>Creative Resource Utilisation — All Units</t>
        </is>
      </c>
      <c r="G9" s="124" t="inlineStr">
        <is>
          <t>Of the Graphic Designer &amp; Video Editor bandwidth allocated across all sub-departments, the % actually used against planned deliverables in the cycle. Central reads the aggregate and the skew — which units are stretched, which under-use; day-to-day management stays with unit PMs. Low = planning gaps · over = scope creep or under-resourcing.</t>
        </is>
      </c>
      <c r="H9" s="124" t="inlineStr">
        <is>
          <t>enabling → dept Creative Resource Utilisation (§5, PMO lane) — the dept KPI lands its team owner here; domain views keep their own slice (FS: Creative Resource Utilisation Rate)</t>
        </is>
      </c>
      <c r="I9" s="123" t="inlineStr">
        <is>
          <t>%</t>
        </is>
      </c>
      <c r="J9" s="123" t="inlineStr">
        <is>
          <t>Monthly</t>
        </is>
      </c>
      <c r="K9" s="123" t="n"/>
      <c r="L9" s="123" t="n"/>
      <c r="M9" s="126">
        <f>IF(AND(ISNUMBER(K9),ISNUMBER(L9)),K9-L9,"")</f>
        <v/>
      </c>
      <c r="N9" s="124" t="inlineStr">
        <is>
          <t>Baseline first: Q1 builds the allocation register per unit; unit PMs supply the reads, the PMO manager collects at the check-in, the Business Ops lead owns the judgment. FS Q1 Jul reference: A 100% — fully utilised, at times stretched.</t>
        </is>
      </c>
    </row>
    <row r="10" ht="84" customHeight="1">
      <c r="A10" s="123" t="n">
        <v>4</v>
      </c>
      <c r="B10" s="123" t="inlineStr">
        <is>
          <t>B</t>
        </is>
      </c>
      <c r="C10" s="124" t="inlineStr">
        <is>
          <t>Business Ops — Shared Teams</t>
        </is>
      </c>
      <c r="D10" s="123" t="inlineStr">
        <is>
          <t>All</t>
        </is>
      </c>
      <c r="E10" s="123" t="inlineStr">
        <is>
          <t>All</t>
        </is>
      </c>
      <c r="F10" s="125" t="inlineStr">
        <is>
          <t>Cross-functional Resource Utilisation — All Units</t>
        </is>
      </c>
      <c r="G10" s="124" t="inlineStr">
        <is>
          <t>Of the embedded function bandwidth (Engineering, Product, Pedagogy, DA/DEs, Product Design) allocated into units, the % actually used on committed work in the cycle — across every sub-department and function. Read the same way: low = planning gaps · over = scope creep or under-resourcing.</t>
        </is>
      </c>
      <c r="H10" s="124" t="inlineStr">
        <is>
          <t>enabling → dept Cross-functional Resource Utilisation (§5, PMO lane) — the dept KPI lands its team owner here</t>
        </is>
      </c>
      <c r="I10" s="123" t="inlineStr">
        <is>
          <t>%</t>
        </is>
      </c>
      <c r="J10" s="123" t="inlineStr">
        <is>
          <t>Monthly</t>
        </is>
      </c>
      <c r="K10" s="123" t="n"/>
      <c r="L10" s="123" t="n"/>
      <c r="M10" s="126">
        <f>IF(AND(ISNUMBER(K10),ISNUMBER(L10)),K10-L10,"")</f>
        <v/>
      </c>
      <c r="N10" s="124" t="inlineStr">
        <is>
          <t>Baseline first: same allocation register; unit PMs supply the reads, the PMO manager collects at the check-in, the Business Ops lead owns the judgment.</t>
        </is>
      </c>
    </row>
    <row r="11" ht="71" customHeight="1">
      <c r="A11" s="123" t="n">
        <v>5</v>
      </c>
      <c r="B11" s="123" t="inlineStr">
        <is>
          <t>B</t>
        </is>
      </c>
      <c r="C11" s="124" t="inlineStr">
        <is>
          <t>Agentic Content Platform</t>
        </is>
      </c>
      <c r="D11" s="123" t="inlineStr">
        <is>
          <t>All</t>
        </is>
      </c>
      <c r="E11" s="123" t="inlineStr">
        <is>
          <t>All</t>
        </is>
      </c>
      <c r="F11" s="125" t="inlineStr">
        <is>
          <t>Shared Tool Adoption</t>
        </is>
      </c>
      <c r="G11" s="124" t="inlineStr">
        <is>
          <t>% of shipped shared ACP tools (content-generation workflows, MCP servers, production pipelines built for all domains) that every learning-domain unit is publishing through within a month of shipping. Adopted = used in live production, not a trial.</t>
        </is>
      </c>
      <c r="H11" s="124" t="inlineStr">
        <is>
          <t>enabling → tracker Agentic Production Coverage — adoption is how all units reach the 90 bar</t>
        </is>
      </c>
      <c r="I11" s="123" t="inlineStr">
        <is>
          <t>%</t>
        </is>
      </c>
      <c r="J11" s="123" t="inlineStr">
        <is>
          <t>Monthly</t>
        </is>
      </c>
      <c r="K11" s="123" t="n"/>
      <c r="L11" s="123" t="n"/>
      <c r="M11" s="126">
        <f>IF(AND(ISNUMBER(K11),ISNUMBER(L11)),K11-L11,"")</f>
        <v/>
      </c>
      <c r="N11" s="124" t="inlineStr">
        <is>
          <t>Bar: ALL learning domains within a month of shipping — an unadopted shared tool is shelfware. Owned by the Business Ops lead (ACP builder hat).</t>
        </is>
      </c>
    </row>
    <row r="12" ht="84" customHeight="1">
      <c r="A12" s="123" t="n">
        <v>6</v>
      </c>
      <c r="B12" s="123" t="inlineStr">
        <is>
          <t>B</t>
        </is>
      </c>
      <c r="C12" s="124" t="inlineStr">
        <is>
          <t>PMO</t>
        </is>
      </c>
      <c r="D12" s="123" t="inlineStr">
        <is>
          <t>All</t>
        </is>
      </c>
      <c r="E12" s="123" t="inlineStr">
        <is>
          <t>All</t>
        </is>
      </c>
      <c r="F12" s="125" t="inlineStr">
        <is>
          <t>Worklog &amp; Status Hygiene — All Units</t>
        </is>
      </c>
      <c r="G12" s="124" t="inlineStr">
        <is>
          <t>Of the ~10 units on the check-in calendar, the % entering the monthly check-in with complete worklogs and current deliverable statuses (ClickUp). Check-ins Run says the meeting happened; this says it was fed — and complete worklogs are what make deliverable costing computable in every unit.</t>
        </is>
      </c>
      <c r="H12" s="124" t="inlineStr">
        <is>
          <t>hygiene — operating-rhythm guardrail (input side); no org ladder by design</t>
        </is>
      </c>
      <c r="I12" s="123" t="inlineStr">
        <is>
          <t>%</t>
        </is>
      </c>
      <c r="J12" s="123" t="inlineStr">
        <is>
          <t>Monthly</t>
        </is>
      </c>
      <c r="K12" s="123" t="n"/>
      <c r="L12" s="123" t="n"/>
      <c r="M12" s="126">
        <f>IF(AND(ISNUMBER(K12),ISNUMBER(L12)),K12-L12,"")</f>
        <v/>
      </c>
      <c r="N12" s="124" t="inlineStr">
        <is>
          <t>Unit PMs capture worklogs &amp; statuses in their own Team Ops &amp; People category; the PMO manager checks completeness at collection. Baseline first: needs the unit-PM layer live.</t>
        </is>
      </c>
    </row>
    <row r="13" ht="58" customHeight="1">
      <c r="A13" s="123" t="n">
        <v>7</v>
      </c>
      <c r="B13" s="123" t="inlineStr">
        <is>
          <t>B</t>
        </is>
      </c>
      <c r="C13" s="124" t="inlineStr">
        <is>
          <t>PMO</t>
        </is>
      </c>
      <c r="D13" s="123" t="inlineStr">
        <is>
          <t>All</t>
        </is>
      </c>
      <c r="E13" s="123" t="inlineStr">
        <is>
          <t>All</t>
        </is>
      </c>
      <c r="F13" s="125" t="inlineStr">
        <is>
          <t>Check-ins Run</t>
        </is>
      </c>
      <c r="G13" s="124" t="inlineStr">
        <is>
          <t>% of scheduled monthly unit check-ins with the HOD held on schedule, with the pre-read circulated a day before. Covers every sub-department and embedded function on the check-in calendar (~10 units).</t>
        </is>
      </c>
      <c r="H13" s="124" t="inlineStr">
        <is>
          <t>hygiene — operating-rhythm guardrail; no org ladder by design</t>
        </is>
      </c>
      <c r="I13" s="123" t="inlineStr">
        <is>
          <t>%</t>
        </is>
      </c>
      <c r="J13" s="123" t="inlineStr">
        <is>
          <t>Monthly</t>
        </is>
      </c>
      <c r="K13" s="123" t="n"/>
      <c r="L13" s="123" t="n"/>
      <c r="M13" s="126">
        <f>IF(AND(ISNUMBER(K13),ISNUMBER(L13)),K13-L13,"")</f>
        <v/>
      </c>
      <c r="N13" s="124" t="inlineStr">
        <is>
          <t>Run by the PMO manager; unit PMs supply the pre-read inputs — orchestration here, the work stays with the units.</t>
        </is>
      </c>
    </row>
    <row r="14" ht="58" customHeight="1">
      <c r="A14" s="123" t="n">
        <v>8</v>
      </c>
      <c r="B14" s="123" t="inlineStr">
        <is>
          <t>B</t>
        </is>
      </c>
      <c r="C14" s="124" t="inlineStr">
        <is>
          <t>PMO</t>
        </is>
      </c>
      <c r="D14" s="123" t="inlineStr">
        <is>
          <t>All</t>
        </is>
      </c>
      <c r="E14" s="123" t="inlineStr">
        <is>
          <t>All</t>
        </is>
      </c>
      <c r="F14" s="125" t="inlineStr">
        <is>
          <t>Actions Closed</t>
        </is>
      </c>
      <c r="G14" s="124" t="inlineStr">
        <is>
          <t>% of actions logged in a monthly check-in that are closed before that unit's next check-in. The follow-through half of the cadence — check-ins that close loops, not meetings that merely happen.</t>
        </is>
      </c>
      <c r="H14" s="124" t="inlineStr">
        <is>
          <t>hygiene — operating-rhythm guardrail; no org ladder by design</t>
        </is>
      </c>
      <c r="I14" s="123" t="inlineStr">
        <is>
          <t>%</t>
        </is>
      </c>
      <c r="J14" s="123" t="inlineStr">
        <is>
          <t>Monthly</t>
        </is>
      </c>
      <c r="K14" s="123" t="n"/>
      <c r="L14" s="123" t="n"/>
      <c r="M14" s="126">
        <f>IF(AND(ISNUMBER(K14),ISNUMBER(L14)),K14-L14,"")</f>
        <v/>
      </c>
      <c r="N14" s="124" t="inlineStr">
        <is>
          <t>Run by the PMO manager. Deferred companions (spend → outcome map · tracker freshness · finance turnaround) join after the start set runs a cycle or two.</t>
        </is>
      </c>
    </row>
    <row r="15" ht="26" customHeight="1">
      <c r="A15" s="139" t="inlineStr">
        <is>
          <t>C — Asks: what this team needs from counterparties (thin interface contracts — reviewed monthly)</t>
        </is>
      </c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</row>
    <row r="16" ht="40" customHeight="1">
      <c r="A16" s="140" t="n">
        <v>1</v>
      </c>
      <c r="B16" s="140" t="inlineStr">
        <is>
          <t>C</t>
        </is>
      </c>
      <c r="C16" s="141" t="inlineStr">
        <is>
          <t>Product, Engineering, Product Design &amp; Pedagogy function heads</t>
        </is>
      </c>
      <c r="D16" s="140" t="n"/>
      <c r="E16" s="140" t="n"/>
      <c r="F16" s="142" t="inlineStr">
        <is>
          <t>Execution-management KPI tracking</t>
        </is>
      </c>
      <c r="G16" s="141" t="inlineStr">
        <is>
          <t>Own execution KPIs (roadmap predictability, on-time delivery, budget adherence…) for teams embedded with us, tracked in their home functions — Central consumes the read at the monthly check-in; feeds Shared-Team Deliverables Landed (§7 ask).</t>
        </is>
      </c>
      <c r="H16" s="141" t="n"/>
      <c r="I16" s="140" t="n"/>
      <c r="J16" s="140" t="n"/>
      <c r="K16" s="140" t="n"/>
      <c r="L16" s="140" t="n"/>
      <c r="M16" s="140" t="n"/>
      <c r="N16" s="141" t="n"/>
    </row>
    <row r="17" ht="40" customHeight="1">
      <c r="A17" s="140" t="n">
        <v>2</v>
      </c>
      <c r="B17" s="140" t="inlineStr">
        <is>
          <t>C</t>
        </is>
      </c>
      <c r="C17" s="141" t="inlineStr">
        <is>
          <t>Graphic Design &amp; Video Editing team heads</t>
        </is>
      </c>
      <c r="D17" s="140" t="n"/>
      <c r="E17" s="140" t="n"/>
      <c r="F17" s="142" t="inlineStr">
        <is>
          <t>Creative delivery-management tracking</t>
        </is>
      </c>
      <c r="G17" s="141" t="inlineStr">
        <is>
          <t>Delivery-management KPIs for the design &amp; video pipeline (on-time %, asset turnaround TAT, rework rate…) stay with the creative team heads; domain PMs manage day-to-day utilisation (FS view carries Creative Resource Utilisation) — §7 ask, reviewed quarterly.</t>
        </is>
      </c>
      <c r="H17" s="141" t="n"/>
      <c r="I17" s="140" t="n"/>
      <c r="J17" s="140" t="n"/>
      <c r="K17" s="140" t="n"/>
      <c r="L17" s="140" t="n"/>
      <c r="M17" s="140" t="n"/>
      <c r="N17" s="141" t="n"/>
    </row>
  </sheetData>
  <mergeCells count="7">
    <mergeCell ref="G17:N17"/>
    <mergeCell ref="A6:N6"/>
    <mergeCell ref="A4:N4"/>
    <mergeCell ref="A2:N2"/>
    <mergeCell ref="A15:N15"/>
    <mergeCell ref="G16:N16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2026-08-25T14:54:38Z</dcterms:modified>
</cp:coreProperties>
</file>