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7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84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32" customHeight="1">
      <c r="A18" s="130" t="inlineStr">
        <is>
          <t>T16</t>
        </is>
      </c>
      <c r="B18" s="130" t="inlineStr">
        <is>
          <t>A</t>
        </is>
      </c>
      <c r="C18" s="131">
        <f>IF('KPI Tracker FY26-27'!C19="","",'KPI Tracker FY26-27'!C19)</f>
        <v/>
      </c>
      <c r="D18" s="130">
        <f>IF('KPI Tracker FY26-27'!D19="","",'KPI Tracker FY26-27'!D19)</f>
        <v/>
      </c>
      <c r="E18" s="130">
        <f>IF('KPI Tracker FY26-27'!E19="","",'KPI Tracker FY26-27'!E19)</f>
        <v/>
      </c>
      <c r="F18" s="132">
        <f>IF('KPI Tracker FY26-27'!G19="","",'KPI Tracker FY26-27'!G19)</f>
        <v/>
      </c>
      <c r="G18" s="131">
        <f>IF('KPI Tracker FY26-27'!H19="","",'KPI Tracker FY26-27'!H19)</f>
        <v/>
      </c>
      <c r="H18" s="131" t="inlineStr">
        <is>
          <t>inherited — team-sheet twin</t>
        </is>
      </c>
      <c r="I18" s="130">
        <f>IF('KPI Tracker FY26-27'!M19="","",'KPI Tracker FY26-27'!M19)</f>
        <v/>
      </c>
      <c r="J18" s="130">
        <f>IF('KPI Tracker FY26-27'!N19="","",'KPI Tracker FY26-27'!N19)</f>
        <v/>
      </c>
      <c r="K18" s="130">
        <f>IF('KPI Tracker FY26-27'!O19="","",'KPI Tracker FY26-27'!O19)</f>
        <v/>
      </c>
      <c r="L18" s="130">
        <f>IF('KPI Tracker FY26-27'!P19="","",'KPI Tracker FY26-27'!P19)</f>
        <v/>
      </c>
      <c r="M18" s="130">
        <f>IF('KPI Tracker FY26-27'!Q19="","",'KPI Tracker FY26-27'!Q19)</f>
        <v/>
      </c>
      <c r="N18" s="131">
        <f>IF('KPI Tracker FY26-27'!R19="","",'KPI Tracker FY26-27'!R19)</f>
        <v/>
      </c>
    </row>
    <row r="19" ht="32" customHeight="1">
      <c r="A19" s="130" t="inlineStr">
        <is>
          <t>T24</t>
        </is>
      </c>
      <c r="B19" s="130" t="inlineStr">
        <is>
          <t>A</t>
        </is>
      </c>
      <c r="C19" s="131">
        <f>IF('KPI Tracker FY26-27'!C27="","",'KPI Tracker FY26-27'!C27)</f>
        <v/>
      </c>
      <c r="D19" s="130">
        <f>IF('KPI Tracker FY26-27'!D27="","",'KPI Tracker FY26-27'!D27)</f>
        <v/>
      </c>
      <c r="E19" s="130">
        <f>IF('KPI Tracker FY26-27'!E27="","",'KPI Tracker FY26-27'!E27)</f>
        <v/>
      </c>
      <c r="F19" s="132">
        <f>IF('KPI Tracker FY26-27'!G27="","",'KPI Tracker FY26-27'!G27)</f>
        <v/>
      </c>
      <c r="G19" s="131">
        <f>IF('KPI Tracker FY26-27'!H27="","",'KPI Tracker FY26-27'!H27)</f>
        <v/>
      </c>
      <c r="H19" s="131" t="inlineStr">
        <is>
          <t>inherited — via Functions (col K)</t>
        </is>
      </c>
      <c r="I19" s="130">
        <f>IF('KPI Tracker FY26-27'!M27="","",'KPI Tracker FY26-27'!M27)</f>
        <v/>
      </c>
      <c r="J19" s="130">
        <f>IF('KPI Tracker FY26-27'!N27="","",'KPI Tracker FY26-27'!N27)</f>
        <v/>
      </c>
      <c r="K19" s="130">
        <f>IF('KPI Tracker FY26-27'!O27="","",'KPI Tracker FY26-27'!O27)</f>
        <v/>
      </c>
      <c r="L19" s="130">
        <f>IF('KPI Tracker FY26-27'!P27="","",'KPI Tracker FY26-27'!P27)</f>
        <v/>
      </c>
      <c r="M19" s="130">
        <f>IF('KPI Tracker FY26-27'!Q27="","",'KPI Tracker FY26-27'!Q27)</f>
        <v/>
      </c>
      <c r="N19" s="131">
        <f>IF('KPI Tracker FY26-27'!R27="","",'KPI Tracker FY26-27'!R27)</f>
        <v/>
      </c>
    </row>
    <row r="20" ht="32" customHeight="1">
      <c r="A20" s="130" t="inlineStr">
        <is>
          <t>T25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FY26-27'!E28="","",'KPI Tracker FY26-27'!E28)</f>
        <v/>
      </c>
      <c r="F20" s="132">
        <f>IF('KPI Tracker FY26-27'!G28="","",'KPI Tracker FY26-27'!G28)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FY26-27'!O28="","",'KPI Tracker FY26-27'!O28)</f>
        <v/>
      </c>
      <c r="L20" s="130">
        <f>IF('KPI Tracker FY26-27'!P28="","",'KPI Tracker FY26-27'!P28)</f>
        <v/>
      </c>
      <c r="M20" s="130">
        <f>IF('KPI Tracker FY26-27'!Q28="","",'KPI Tracker FY26-27'!Q28)</f>
        <v/>
      </c>
      <c r="N20" s="131">
        <f>IF('KPI Tracker FY26-27'!R27="","",'KPI Tracker FY26-27'!R27)</f>
        <v/>
      </c>
    </row>
    <row r="21" ht="32" customHeight="1">
      <c r="A21" s="130" t="inlineStr">
        <is>
          <t>T27</t>
        </is>
      </c>
      <c r="B21" s="130" t="inlineStr">
        <is>
          <t>A</t>
        </is>
      </c>
      <c r="C21" s="131">
        <f>IF('KPI Tracker FY26-27'!C31="","",'KPI Tracker FY26-27'!C31)</f>
        <v/>
      </c>
      <c r="D21" s="130">
        <f>IF('KPI Tracker FY26-27'!D31="","",'KPI Tracker FY26-27'!D31)</f>
        <v/>
      </c>
      <c r="E21" s="130">
        <f>IF('KPI Tracker FY26-27'!E31="","",'KPI Tracker FY26-27'!E31)</f>
        <v/>
      </c>
      <c r="F21" s="132">
        <f>IF('KPI Tracker FY26-27'!G31="","",'KPI Tracker FY26-27'!G31)</f>
        <v/>
      </c>
      <c r="G21" s="131">
        <f>IF('KPI Tracker FY26-27'!H31="","",'KPI Tracker FY26-27'!H31)</f>
        <v/>
      </c>
      <c r="H21" s="131" t="inlineStr">
        <is>
          <t>inherited — via Functions (col K)</t>
        </is>
      </c>
      <c r="I21" s="130">
        <f>IF('KPI Tracker FY26-27'!M31="","",'KPI Tracker FY26-27'!M31)</f>
        <v/>
      </c>
      <c r="J21" s="130">
        <f>IF('KPI Tracker FY26-27'!N31="","",'KPI Tracker FY26-27'!N31)</f>
        <v/>
      </c>
      <c r="K21" s="130">
        <f>IF('KPI Tracker FY26-27'!O31="","",'KPI Tracker FY26-27'!O31)</f>
        <v/>
      </c>
      <c r="L21" s="130">
        <f>IF('KPI Tracker FY26-27'!P31="","",'KPI Tracker FY26-27'!P31)</f>
        <v/>
      </c>
      <c r="M21" s="130">
        <f>IF('KPI Tracker FY26-27'!Q31="","",'KPI Tracker FY26-27'!Q31)</f>
        <v/>
      </c>
      <c r="N21" s="131">
        <f>IF('KPI Tracker FY26-27'!R31="","",'KPI Tracker FY26-27'!R31)</f>
        <v/>
      </c>
    </row>
    <row r="22" ht="32" customHeight="1">
      <c r="A22" s="130" t="inlineStr">
        <is>
          <t>T28</t>
        </is>
      </c>
      <c r="B22" s="130" t="inlineStr">
        <is>
          <t>A</t>
        </is>
      </c>
      <c r="C22" s="131">
        <f>IF('KPI Tracker FY26-27'!C32="","",'KPI Tracker FY26-27'!C32)</f>
        <v/>
      </c>
      <c r="D22" s="130">
        <f>IF('KPI Tracker FY26-27'!D32="","",'KPI Tracker FY26-27'!D32)</f>
        <v/>
      </c>
      <c r="E22" s="130">
        <f>IF('KPI Tracker FY26-27'!E32="","",'KPI Tracker FY26-27'!E32)</f>
        <v/>
      </c>
      <c r="F22" s="132">
        <f>IF('KPI Tracker FY26-27'!G32="","",'KPI Tracker FY26-27'!G32)</f>
        <v/>
      </c>
      <c r="G22" s="131">
        <f>IF('KPI Tracker FY26-27'!H32="","",'KPI Tracker FY26-27'!H32)</f>
        <v/>
      </c>
      <c r="H22" s="131" t="inlineStr">
        <is>
          <t>inherited — via Functions (col K)</t>
        </is>
      </c>
      <c r="I22" s="130">
        <f>IF('KPI Tracker FY26-27'!M32="","",'KPI Tracker FY26-27'!M32)</f>
        <v/>
      </c>
      <c r="J22" s="130">
        <f>IF('KPI Tracker FY26-27'!N32="","",'KPI Tracker FY26-27'!N32)</f>
        <v/>
      </c>
      <c r="K22" s="130">
        <f>IF('KPI Tracker FY26-27'!O32="","",'KPI Tracker FY26-27'!O32)</f>
        <v/>
      </c>
      <c r="L22" s="130">
        <f>IF('KPI Tracker FY26-27'!P32="","",'KPI Tracker FY26-27'!P32)</f>
        <v/>
      </c>
      <c r="M22" s="130">
        <f>IF('KPI Tracker FY26-27'!Q32="","",'KPI Tracker FY26-27'!Q32)</f>
        <v/>
      </c>
      <c r="N22" s="131">
        <f>IF('KPI Tracker FY26-27'!R32="","",'KPI Tracker FY26-27'!R32)</f>
        <v/>
      </c>
    </row>
    <row r="23" ht="26" customHeight="1">
      <c r="A23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</row>
    <row r="24" ht="58" customHeight="1">
      <c r="A24" s="123" t="n">
        <v>1</v>
      </c>
      <c r="B24" s="123" t="inlineStr">
        <is>
          <t>B</t>
        </is>
      </c>
      <c r="C24" s="124" t="inlineStr">
        <is>
          <t>Business Impact</t>
        </is>
      </c>
      <c r="D24" s="123" t="inlineStr">
        <is>
          <t>All</t>
        </is>
      </c>
      <c r="E24" s="123" t="inlineStr">
        <is>
          <t>All</t>
        </is>
      </c>
      <c r="F24" s="125" t="inlineStr">
        <is>
          <t>Summative Skill Assessment Achievement Rate</t>
        </is>
      </c>
      <c r="G24" s="124" t="inlineStr">
        <is>
          <t>Students scoring above the defined passing threshold in summative skill assessments across owned domains. Passing threshold set by the team per domain context (default reference: 70%).</t>
        </is>
      </c>
      <c r="H24" s="124" t="inlineStr">
        <is>
          <t>direct → org KRA 1 — the summative achievement number itself (org scoreboard; the tracker reads it via module-quiz Bands + Alignment)</t>
        </is>
      </c>
      <c r="I24" s="123" t="inlineStr">
        <is>
          <t>%</t>
        </is>
      </c>
      <c r="J24" s="123" t="inlineStr">
        <is>
          <t>Quarterly</t>
        </is>
      </c>
      <c r="K24" s="123" t="n"/>
      <c r="L24" s="123" t="n"/>
      <c r="M24" s="126">
        <f>IF(AND(ISNUMBER(K24),ISNUMBER(L24)),K24-L24,"")</f>
        <v/>
      </c>
      <c r="N24" s="124" t="inlineStr">
        <is>
          <t>Q1 ref: B 35 (quarterly) · default threshold 70%.</t>
        </is>
      </c>
    </row>
    <row r="25" ht="58" customHeight="1">
      <c r="A25" s="123" t="n">
        <v>2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Formative Skill Assessment Achievement Rate</t>
        </is>
      </c>
      <c r="G25" s="124" t="inlineStr">
        <is>
          <t>Students scoring above the defined passing threshold in formative skill assessments across owned domains. Passing threshold set by the team per domain context (default reference: 70%).</t>
        </is>
      </c>
      <c r="H25" s="124" t="inlineStr">
        <is>
          <t>enabling → Summative SA Achievement (row above) + tracker Content–Assessment Alignment — the early-warning formative read</t>
        </is>
      </c>
      <c r="I25" s="123" t="inlineStr">
        <is>
          <t>%</t>
        </is>
      </c>
      <c r="J25" s="123" t="inlineStr">
        <is>
          <t>Monthly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Jul: B 23 · A 33.4 — 75% cap used as the Skill Assessments cut-off.</t>
        </is>
      </c>
    </row>
    <row r="26" ht="58" customHeight="1">
      <c r="A26" s="123" t="n">
        <v>3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NIAT</t>
        </is>
      </c>
      <c r="E26" s="123" t="inlineStr">
        <is>
          <t>All</t>
        </is>
      </c>
      <c r="F26" s="125" t="inlineStr">
        <is>
          <t>Graded Assessment Achievement Rate</t>
        </is>
      </c>
      <c r="G26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6" s="124" t="inlineStr">
        <is>
          <t>enabling → dept Business Impact (§5) — university-conducted exams: NIAT SPI &amp; university trust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/>
    </row>
    <row r="27" ht="45" customHeight="1">
      <c r="A27" s="123" t="n">
        <v>4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Launchpad</t>
        </is>
      </c>
      <c r="E27" s="123" t="inlineStr">
        <is>
          <t>All</t>
        </is>
      </c>
      <c r="F27" s="125" t="inlineStr">
        <is>
          <t>Weekly Active Users</t>
        </is>
      </c>
      <c r="G27" s="124" t="inlineStr">
        <is>
          <t>Total prospective learner leads generated in the period through content-driven channels (organic, referral, campaigns, partnerships).</t>
        </is>
      </c>
      <c r="H27" s="124" t="inlineStr">
        <is>
          <t>enabling → dept Business Impact (§5) — Launchpad top-of-funnel</t>
        </is>
      </c>
      <c r="I27" s="123" t="inlineStr">
        <is>
          <t>Count</t>
        </is>
      </c>
      <c r="J27" s="123" t="inlineStr">
        <is>
          <t>Monthly (wkly avg)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58" customHeight="1">
      <c r="A28" s="123" t="n">
        <v>5</v>
      </c>
      <c r="B28" s="123" t="inlineStr">
        <is>
          <t>B</t>
        </is>
      </c>
      <c r="C28" s="124" t="inlineStr">
        <is>
          <t>Content Effectiveness</t>
        </is>
      </c>
      <c r="D28" s="123" t="inlineStr">
        <is>
          <t>All</t>
        </is>
      </c>
      <c r="E28" s="123" t="inlineStr">
        <is>
          <t>All</t>
        </is>
      </c>
      <c r="F28" s="125" t="inlineStr">
        <is>
          <t>Pedagogy Initiative Impact</t>
        </is>
      </c>
      <c r="G28" s="124" t="inlineStr">
        <is>
          <t>Implemented pedagogy initiatives with measurable learning-outcome improvement. Outcome baseline must be defined and agreed before the initiative is launched.</t>
        </is>
      </c>
      <c r="H28" s="124" t="inlineStr">
        <is>
          <t>enabling → module-quiz Bands + org KRA 2 Academics CSAT — pedagogy initiatives move the learning numbers</t>
        </is>
      </c>
      <c r="I28" s="123" t="inlineStr">
        <is>
          <t>Count</t>
        </is>
      </c>
      <c r="J28" s="123" t="inlineStr">
        <is>
          <t>Quarterly</t>
        </is>
      </c>
      <c r="K28" s="123" t="n"/>
      <c r="L28" s="123" t="n"/>
      <c r="M28" s="126">
        <f>IF(AND(ISNUMBER(K28),ISNUMBER(L28)),K28-L28,"")</f>
        <v/>
      </c>
      <c r="N28" s="124" t="inlineStr">
        <is>
          <t>Owned by the domain SME on this team; embedded Pedagogy Experts contribute to the initiatives.</t>
        </is>
      </c>
    </row>
    <row r="29" ht="45" customHeight="1">
      <c r="A29" s="123" t="n">
        <v>6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Learner Accessed Content Completion Rate</t>
        </is>
      </c>
      <c r="G29" s="124" t="inlineStr">
        <is>
          <t>Video units: for each learner, % of video units they opened that they also completed; averaged across learners. Excludes units with zero opens.</t>
        </is>
      </c>
      <c r="H29" s="124" t="inlineStr">
        <is>
          <t>enabling → tracker Engagement-Matrix Cell Migration — video-stickiness leg of the value axis; access-conditioned, so conduction effects are stripped</t>
        </is>
      </c>
      <c r="I29" s="123" t="inlineStr">
        <is>
          <t>%</t>
        </is>
      </c>
      <c r="J29" s="123" t="inlineStr">
        <is>
          <t>Monthly</t>
        </is>
      </c>
      <c r="K29" s="123" t="n"/>
      <c r="L29" s="123" t="n"/>
      <c r="M29" s="126">
        <f>IF(AND(ISNUMBER(K29),ISNUMBER(L29)),K29-L29,"")</f>
        <v/>
      </c>
      <c r="N29" s="124" t="inlineStr"/>
    </row>
    <row r="30" ht="58" customHeight="1">
      <c r="A30" s="123" t="n">
        <v>7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Practice Attempt-to-Completion Rate</t>
        </is>
      </c>
      <c r="G30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0" s="124" t="inlineStr">
        <is>
          <t>enabling → tracker Journey Step Health steps 6–7 (practice return &amp; completion) + Learning Environment Satisfaction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>
        <is>
          <t>Q1 Jul: B 38.</t>
        </is>
      </c>
    </row>
    <row r="31" ht="45" customHeight="1">
      <c r="A31" s="123" t="n">
        <v>8</v>
      </c>
      <c r="B31" s="123" t="inlineStr">
        <is>
          <t>B</t>
        </is>
      </c>
      <c r="C31" s="124" t="inlineStr">
        <is>
          <t>Content Velocity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Learning Content Hours Delivered</t>
        </is>
      </c>
      <c r="G31" s="124" t="inlineStr">
        <is>
          <t>Total learning content hours created per month across all formats (video, text, interactive). Content serving multiple products counted once.</t>
        </is>
      </c>
      <c r="H31" s="124" t="inlineStr">
        <is>
          <t>enabling → dept Content Velocity (§5) — capacity for B4 &amp; new stacks</t>
        </is>
      </c>
      <c r="I31" s="123" t="inlineStr">
        <is>
          <t>Hours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50 · A 46.</t>
        </is>
      </c>
    </row>
    <row r="32" ht="58" customHeight="1">
      <c r="A32" s="123" t="n">
        <v>9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Vernacular Content Hours Delivered</t>
        </is>
      </c>
      <c r="G32" s="124" t="inlineStr">
        <is>
          <t>Total vernacular-language learning content hours created per month. Tracked separately from English hours — effort per vernacular hour differs significantly.</t>
        </is>
      </c>
      <c r="H32" s="124" t="inlineStr">
        <is>
          <t>enabling → dept Content Velocity (§5) — vernacular capacity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0 — no vernacular slate yet.</t>
        </is>
      </c>
    </row>
    <row r="33" ht="45" customHeight="1">
      <c r="A33" s="123" t="n">
        <v>10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Practice &amp; Assessment Content Pieces Delivered</t>
        </is>
      </c>
      <c r="G33" s="124" t="inlineStr">
        <is>
          <t>Total practice and assessment pieces delivered monthly across owned domains (MCQs, coding questions, projects, case studies).</t>
        </is>
      </c>
      <c r="H33" s="124" t="inlineStr">
        <is>
          <t>enabling → dept Content Velocity (§5) — practice depth behind Journey Step Health steps 5–7</t>
        </is>
      </c>
      <c r="I33" s="123" t="inlineStr">
        <is>
          <t>Count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1,600 · A 1,499 (Aug B: 1,000).</t>
        </is>
      </c>
    </row>
    <row r="34" ht="32" customHeight="1">
      <c r="A34" s="123" t="n">
        <v>11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Branding Content Assets Delivered</t>
        </is>
      </c>
      <c r="G34" s="124" t="inlineStr">
        <is>
          <t>Total branded content pieces produced monthly (thumbnails, banners, promo assets).</t>
        </is>
      </c>
      <c r="H34" s="124" t="inlineStr">
        <is>
          <t>enabling → dept Content Velocity (§5)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0.</t>
        </is>
      </c>
    </row>
    <row r="35" ht="58" customHeight="1">
      <c r="A35" s="123" t="n">
        <v>12</v>
      </c>
      <c r="B35" s="123" t="inlineStr">
        <is>
          <t>B</t>
        </is>
      </c>
      <c r="C35" s="124" t="inlineStr">
        <is>
          <t>Content Efficiency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Cost per Learning Hour Produced</t>
        </is>
      </c>
      <c r="G35" s="124" t="inlineStr">
        <is>
          <t>Average cost to produce one hour of learning content. Includes people, tools and infra involved in creation. Tracks creation efficiency — not delivery cost.</t>
        </is>
      </c>
      <c r="H35" s="124" t="inlineStr">
        <is>
          <t>enabling → dept Cost per Learning Hour (§5 Content Efficiency)</t>
        </is>
      </c>
      <c r="I35" s="123" t="inlineStr">
        <is>
          <t>INR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₹10,000 · A ₹6,803 — 46 h across 4 products.</t>
        </is>
      </c>
    </row>
    <row r="36" ht="58" customHeight="1">
      <c r="A36" s="123" t="n">
        <v>13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Vernacular Content Hour</t>
        </is>
      </c>
      <c r="G36" s="124" t="inlineStr">
        <is>
          <t>Average cost to produce one hour of vernacular-language content. Includes team bandwidth involved in creation (contract basis, tools &amp; infrastructure).</t>
        </is>
      </c>
      <c r="H36" s="124" t="inlineStr">
        <is>
          <t>enabling → dept Cost per Vernacular Content Hour (§5) — production-side twin of CSI's central track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0 · A 0.</t>
        </is>
      </c>
    </row>
    <row r="37" ht="32" customHeight="1">
      <c r="A37" s="123" t="n">
        <v>14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MCQ Generated</t>
        </is>
      </c>
      <c r="G37" s="124" t="inlineStr">
        <is>
          <t>Average cost to develop one objective question, including both manual and AI-assisted production.</t>
        </is>
      </c>
      <c r="H37" s="124" t="inlineStr">
        <is>
          <t>enabling → dept Cost per MCQ (§5 Content Efficiency)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₹40 · A ₹26 — 1,347 MCQs across 2 products.</t>
        </is>
      </c>
    </row>
    <row r="38" ht="45" customHeight="1">
      <c r="A38" s="123" t="n">
        <v>15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Coding Question</t>
        </is>
      </c>
      <c r="G38" s="124" t="inlineStr">
        <is>
          <t>Average cost to develop one coding question, including test-case design and evaluation-engine configuration.</t>
        </is>
      </c>
      <c r="H38" s="124" t="inlineStr">
        <is>
          <t>enabling → dept Cost per Coding Question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₹400 · A ₹163 — 131 coding questions across 3 products.</t>
        </is>
      </c>
    </row>
    <row r="39" ht="32" customHeight="1">
      <c r="A39" s="123" t="n">
        <v>16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Branding Content Asset</t>
        </is>
      </c>
      <c r="G39" s="124" t="inlineStr">
        <is>
          <t>Average cost to create one branded content piece.</t>
        </is>
      </c>
      <c r="H39" s="124" t="inlineStr">
        <is>
          <t>enabling → dept Cost per Branding Asset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0 · A 0.</t>
        </is>
      </c>
    </row>
    <row r="40" ht="58" customHeight="1">
      <c r="A40" s="123" t="n">
        <v>17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Platform Runtime Cost per Active Learner</t>
        </is>
      </c>
      <c r="G40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0" s="124" t="inlineStr">
        <is>
          <t>enabling → dept Platform Runtime Cost per Active Learner (§5) — the team's share of delivery cost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/>
    </row>
    <row r="41" ht="45" customHeight="1">
      <c r="A41" s="123" t="n">
        <v>18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R&amp;D Initiative Impact</t>
        </is>
      </c>
      <c r="G41" s="124" t="inlineStr">
        <is>
          <t>Implemented R&amp;D initiatives — including adoption of agentic AI solutions and automation pipelines — with measurable content-production improvement.</t>
        </is>
      </c>
      <c r="H41" s="124" t="inlineStr">
        <is>
          <t>enabling → dept R&amp;D Initiative Impact (§5) + tracker row Agentic Production Coverage</t>
        </is>
      </c>
      <c r="I41" s="123" t="inlineStr">
        <is>
          <t>Count</t>
        </is>
      </c>
      <c r="J41" s="123" t="inlineStr">
        <is>
          <t>Quarterly</t>
        </is>
      </c>
      <c r="K41" s="123" t="n"/>
      <c r="L41" s="123" t="n"/>
      <c r="M41" s="126">
        <f>IF(AND(ISNUMBER(K41),ISNUMBER(L41)),K41-L41,"")</f>
        <v/>
      </c>
      <c r="N41" s="124" t="inlineStr">
        <is>
          <t>Q1 Jul: B 0 · A 0.</t>
        </is>
      </c>
    </row>
    <row r="42" ht="58" customHeight="1">
      <c r="A42" s="123" t="n">
        <v>19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20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21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45" customHeight="1">
      <c r="A45" s="123" t="n">
        <v>22</v>
      </c>
      <c r="B45" s="123" t="inlineStr">
        <is>
          <t>B</t>
        </is>
      </c>
      <c r="C45" s="124" t="inlineStr">
        <is>
          <t>Executive Ops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Operations &amp; Growth Cost</t>
        </is>
      </c>
      <c r="G45" s="124" t="inlineStr">
        <is>
          <t>Average cost across executive ops, operational efficiency, market analysis and hiring activities. Tracked at team scope, not per product.</t>
        </is>
      </c>
      <c r="H45" s="124" t="inlineStr">
        <is>
          <t>hygiene — team run-cost guardrail; no org ladder by design</t>
        </is>
      </c>
      <c r="I45" s="123" t="inlineStr">
        <is>
          <t>INR</t>
        </is>
      </c>
      <c r="J45" s="123" t="inlineStr">
        <is>
          <t>Monthly</t>
        </is>
      </c>
      <c r="K45" s="123" t="n"/>
      <c r="L45" s="123" t="n"/>
      <c r="M45" s="126">
        <f>IF(AND(ISNUMBER(K45),ISNUMBER(L45)),K45-L45,"")</f>
        <v/>
      </c>
      <c r="N45" s="124" t="inlineStr">
        <is>
          <t>Q1 Jul: A ₹300,863.</t>
        </is>
      </c>
    </row>
    <row r="46" ht="58" customHeight="1">
      <c r="A46" s="123" t="n">
        <v>23</v>
      </c>
      <c r="B46" s="123" t="inlineStr">
        <is>
          <t>B</t>
        </is>
      </c>
      <c r="C46" s="124" t="inlineStr">
        <is>
          <t>Executive Ops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Creative Resource Utilisation Rate</t>
        </is>
      </c>
      <c r="G46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6" s="124" t="inlineStr">
        <is>
          <t>hygiene — creative bandwidth guardrail (PM-managed); no org ladder by design</t>
        </is>
      </c>
      <c r="I46" s="123" t="inlineStr">
        <is>
          <t>%</t>
        </is>
      </c>
      <c r="J46" s="123" t="inlineStr">
        <is>
          <t>Monthly</t>
        </is>
      </c>
      <c r="K46" s="123" t="n"/>
      <c r="L46" s="123" t="n"/>
      <c r="M46" s="126">
        <f>IF(AND(ISNUMBER(K46),ISNUMBER(L46)),K46-L46,"")</f>
        <v/>
      </c>
      <c r="N46" s="124" t="inlineStr">
        <is>
          <t>Q1 Jul: A 100% — fully utilised, at times stretched.</t>
        </is>
      </c>
    </row>
    <row r="47" ht="26" customHeight="1">
      <c r="A47" s="129" t="inlineStr">
        <is>
          <t>C — Asks: what this team needs from counterparties (thin interface contracts — reviewed monthly)</t>
        </is>
      </c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40" customHeight="1">
      <c r="A48" s="130" t="n">
        <v>1</v>
      </c>
      <c r="B48" s="130" t="inlineStr">
        <is>
          <t>C</t>
        </is>
      </c>
      <c r="C48" s="131" t="inlineStr">
        <is>
          <t>Assessments team</t>
        </is>
      </c>
      <c r="D48" s="130" t="n"/>
      <c r="E48" s="130" t="n"/>
      <c r="F48" s="132" t="inlineStr">
        <is>
          <t>Assessment blueprints per cycle</t>
        </is>
      </c>
      <c r="G48" s="131" t="inlineStr">
        <is>
          <t>Skill-assessment blueprints + knowledge points shared before authoring each cycle; changes communicated — feeds Content–Assessment Alignment (§7 ask).</t>
        </is>
      </c>
      <c r="H48" s="131" t="n"/>
      <c r="I48" s="130" t="n"/>
      <c r="J48" s="130" t="n"/>
      <c r="K48" s="130" t="n"/>
      <c r="L48" s="130" t="n"/>
      <c r="M48" s="130" t="n"/>
      <c r="N48" s="131" t="n"/>
    </row>
    <row r="49" ht="40" customHeight="1">
      <c r="A49" s="130" t="n">
        <v>2</v>
      </c>
      <c r="B49" s="130" t="inlineStr">
        <is>
          <t>C</t>
        </is>
      </c>
      <c r="C49" s="131" t="inlineStr">
        <is>
          <t>Learning Platform / DA-DEs</t>
        </is>
      </c>
      <c r="D49" s="130" t="n"/>
      <c r="E49" s="130" t="n"/>
      <c r="F49" s="132" t="inlineStr">
        <is>
          <t>Engagement &amp; LE dashboards</t>
        </is>
      </c>
      <c r="G49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49" s="131" t="n"/>
      <c r="I49" s="130" t="n"/>
      <c r="J49" s="130" t="n"/>
      <c r="K49" s="130" t="n"/>
      <c r="L49" s="130" t="n"/>
      <c r="M49" s="130" t="n"/>
      <c r="N49" s="131" t="n"/>
    </row>
    <row r="50" ht="40" customHeight="1">
      <c r="A50" s="130" t="n">
        <v>3</v>
      </c>
      <c r="B50" s="130" t="inlineStr">
        <is>
          <t>C</t>
        </is>
      </c>
      <c r="C50" s="131" t="inlineStr">
        <is>
          <t>Instructors dept + Program Ops</t>
        </is>
      </c>
      <c r="D50" s="130" t="n"/>
      <c r="E50" s="130" t="n"/>
      <c r="F50" s="132" t="inlineStr">
        <is>
          <t>Classroom signal loop</t>
        </is>
      </c>
      <c r="G50" s="131" t="inlineStr">
        <is>
          <t>Structured instructor feedback + conduction context per module — feeds content iteration and Content Issue routing.</t>
        </is>
      </c>
      <c r="H50" s="131" t="n"/>
      <c r="I50" s="130" t="n"/>
      <c r="J50" s="130" t="n"/>
      <c r="K50" s="130" t="n"/>
      <c r="L50" s="130" t="n"/>
      <c r="M50" s="130" t="n"/>
      <c r="N50" s="131" t="n"/>
    </row>
  </sheetData>
  <mergeCells count="8">
    <mergeCell ref="G49:N49"/>
    <mergeCell ref="G48:N48"/>
    <mergeCell ref="A4:N4"/>
    <mergeCell ref="A2:N2"/>
    <mergeCell ref="G50:N50"/>
    <mergeCell ref="A47:N47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2026-08-21T12:53:19Z</dcterms:modified>
</cp:coreProperties>
</file>