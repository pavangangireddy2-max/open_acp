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74.5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Practice → Module-Quiz Conversion</t>
        </is>
      </c>
      <c r="G4" s="62" t="inlineStr">
        <is>
          <t>Business Impact:NIAT:B3::Practice-Completed → Module-Quiz ≥8.0 Conversion</t>
        </is>
      </c>
      <c r="H4" s="62" t="inlineStr">
        <is>
          <t>Of learners who completed the module's practice (completion = ≥90% of the module's pieces — threshold adjustable), % scoring ≥8.0 on that module's quiz — same learners tracked through the module window, not period aggregates</t>
        </is>
      </c>
      <c r="I4" s="62" t="inlineStr">
        <is>
          <t>practice completion per learner per module (≥90% threshold — adjustable) · module-quiz conduction (Program Ops, quiz-code mechanism) · per-learner score joins within the module window (DA/DEs)</t>
        </is>
      </c>
      <c r="J4" s="62" t="inlineStr">
        <is>
          <t>content + practice teach the module → completers clear the quiz at ≥8.0 → quiz mastery feeds the formative leg → SPI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5" t="n"/>
      <c r="P4" s="65" t="n"/>
      <c r="Q4" s="66">
        <f>IF(AND(ISNUMBER(O4),ISNUMBER(P4)),O4-P4,"")</f>
        <v/>
      </c>
      <c r="R4" s="62" t="inlineStr">
        <is>
          <t>Stage 1 of the learning-conversion chain — the teaching-effectiveness read, conditioned on our own funnel input so intake and engagement effects are stripped. Anti-gaming pair: FS Section B Practice Attempt-to-Completion (B 38) — a conversion rising while completion falls is being gamed. Budgets blank until the first measured cycle (org-tracker precedent). B4 rows go live with the batch's first module quiz. Band distribution stays as a read-only DA/DE cut.</t>
        </is>
      </c>
    </row>
    <row r="5" ht="74.5" customHeight="1">
      <c r="A5" s="60" t="n">
        <v>3</v>
      </c>
      <c r="B5" s="61" t="n"/>
      <c r="C5" s="65" t="n"/>
      <c r="D5" s="65" t="n"/>
      <c r="E5" s="60" t="inlineStr">
        <is>
          <t>B4</t>
        </is>
      </c>
      <c r="F5" s="65" t="n"/>
      <c r="G5" s="62" t="inlineStr">
        <is>
          <t>Business Impact:NIAT:B4::Practice-Completed → Module-Quiz ≥8.0 Conversion</t>
        </is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6">
        <f>IF(AND(ISNUMBER(O5),ISNUMBER(P5)),O5-P5,"")</f>
        <v/>
      </c>
      <c r="R5" s="65" t="n"/>
    </row>
    <row r="6" ht="61.5" customHeight="1">
      <c r="A6" s="60" t="n">
        <v>4</v>
      </c>
      <c r="B6" s="61" t="n"/>
      <c r="C6" s="62" t="inlineStr">
        <is>
          <t>Business Impact</t>
        </is>
      </c>
      <c r="D6" s="60" t="inlineStr">
        <is>
          <t>NIAT</t>
        </is>
      </c>
      <c r="E6" s="60" t="inlineStr">
        <is>
          <t>B3</t>
        </is>
      </c>
      <c r="F6" s="63" t="inlineStr">
        <is>
          <t>Module-Quiz → Formative Conversion</t>
        </is>
      </c>
      <c r="G6" s="62" t="inlineStr">
        <is>
          <t>Business Impact:NIAT:B3::Module-Quiz ≥8.0 → Formative ≥8.0 Conversion</t>
        </is>
      </c>
      <c r="H6" s="62" t="inlineStr">
        <is>
          <t>Of learners scoring ≥8.0 on the module quiz, % scoring ≥8.0 on the formative skill assessment covering that module — did the learning transfer beyond the quiz</t>
        </is>
      </c>
      <c r="I6" s="62" t="inlineStr">
        <is>
          <t>module-quiz ≥8.0 roster (stage-1 output) · formative skill-assessment conduction &amp; scores (Assessments-dept instruments) · blueprint visibility per cycle (§7 ask)</t>
        </is>
      </c>
      <c r="J6" s="62" t="inlineStr">
        <is>
          <t>quiz mastery transfers to formative skill assessments → the formative share of the external 75% lands → SPI</t>
        </is>
      </c>
      <c r="K6" s="62" t="inlineStr">
        <is>
          <t>Content + Pedagogy Experts + DA/DEs</t>
        </is>
      </c>
      <c r="L6" s="62" t="inlineStr">
        <is>
          <t>Learning Domains</t>
        </is>
      </c>
      <c r="M6" s="60" t="inlineStr">
        <is>
          <t>%</t>
        </is>
      </c>
      <c r="N6" s="62" t="inlineStr">
        <is>
          <t>Monthly</t>
        </is>
      </c>
      <c r="O6" s="65" t="n"/>
      <c r="P6" s="65" t="n"/>
      <c r="Q6" s="66">
        <f>IF(AND(ISNUMBER(O6),ISNUMBER(P6)),O6-P6,"")</f>
        <v/>
      </c>
      <c r="R6" s="62" t="inlineStr">
        <is>
          <t>Stage 2 — the teach-to-the-quiz check: stage 1 high with stage 2 low means quiz-fitted content, not learning. Two-sided row — formative instruments are authored by the Assessments department; when this dips, the DA/DE alignment cut says whether it's a learning failure or an instrument shift. Budgets blank until the first measured cycle.</t>
        </is>
      </c>
    </row>
    <row r="7" ht="61.5" customHeight="1">
      <c r="A7" s="60" t="n">
        <v>5</v>
      </c>
      <c r="B7" s="61" t="n"/>
      <c r="C7" s="65" t="n"/>
      <c r="D7" s="65" t="n"/>
      <c r="E7" s="60" t="inlineStr">
        <is>
          <t>B4</t>
        </is>
      </c>
      <c r="F7" s="65" t="n"/>
      <c r="G7" s="62" t="inlineStr">
        <is>
          <t>Business Impact:NIAT:B4::Module-Quiz ≥8.0 → Formative ≥8.0 Conversion</t>
        </is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6">
        <f>IF(AND(ISNUMBER(O7),ISNUMBER(P7)),O7-P7,"")</f>
        <v/>
      </c>
      <c r="R7" s="65" t="n"/>
    </row>
    <row r="8" ht="55" customHeight="1">
      <c r="A8" s="60" t="n">
        <v>6</v>
      </c>
      <c r="B8" s="61" t="n"/>
      <c r="C8" s="62" t="inlineStr">
        <is>
          <t>Business Impact</t>
        </is>
      </c>
      <c r="D8" s="60" t="inlineStr">
        <is>
          <t>NIAT</t>
        </is>
      </c>
      <c r="E8" s="60" t="inlineStr">
        <is>
          <t>B3</t>
        </is>
      </c>
      <c r="F8" s="63" t="inlineStr">
        <is>
          <t>Formative → Summative Conversion</t>
        </is>
      </c>
      <c r="G8" s="62" t="inlineStr">
        <is>
          <t>Business Impact:NIAT:B3::Formative ≥8.0 → Summative ≥8.0 Conversion</t>
        </is>
      </c>
      <c r="H8" s="62" t="inlineStr">
        <is>
          <t>Of learners scoring ≥8.0 on the module's formative skill assessments, % holding ≥8.0 on the summative skill assessment — the retention read guarding the heaviest SPI weight (50%)</t>
        </is>
      </c>
      <c r="I8" s="62" t="inlineStr">
        <is>
          <t>formative ≥8.0 roster (stage-2 output) · summative skill-assessment conduction &amp; scores (Assessments dept) · semester-window mapping of modules to the summative (DA/DEs)</t>
        </is>
      </c>
      <c r="J8" s="62" t="inlineStr">
        <is>
          <t>formative mastery holds to semester end → the summative 50% of SPI lands → SPI bands + university trust</t>
        </is>
      </c>
      <c r="K8" s="62" t="inlineStr">
        <is>
          <t>Content + Pedagogy Experts + DA/DEs</t>
        </is>
      </c>
      <c r="L8" s="62" t="inlineStr">
        <is>
          <t>Learning Domains</t>
        </is>
      </c>
      <c r="M8" s="60" t="inlineStr">
        <is>
          <t>%</t>
        </is>
      </c>
      <c r="N8" s="62" t="inlineStr">
        <is>
          <t>Per semester</t>
        </is>
      </c>
      <c r="O8" s="65" t="n"/>
      <c r="P8" s="65" t="n"/>
      <c r="Q8" s="66">
        <f>IF(AND(ISNUMBER(O8),ISNUMBER(P8)),O8-P8,"")</f>
        <v/>
      </c>
      <c r="R8" s="62" t="inlineStr">
        <is>
          <t>Stage 3 — the cram-vs-retention detector: students who pass everything fresh and lose it by semester end show up only here. Instruments authored by the Assessments department (two-sided row — read with the DA/DE alignment cut). All ≥8.0 thresholds sit at the dept-strict band — adjustable. Budgets blank until the first measured cycle.</t>
        </is>
      </c>
    </row>
    <row r="9" ht="55" customHeight="1">
      <c r="A9" s="60" t="n">
        <v>7</v>
      </c>
      <c r="B9" s="61" t="n"/>
      <c r="C9" s="65" t="n"/>
      <c r="D9" s="65" t="n"/>
      <c r="E9" s="60" t="inlineStr">
        <is>
          <t>B4</t>
        </is>
      </c>
      <c r="F9" s="65" t="n"/>
      <c r="G9" s="62" t="inlineStr">
        <is>
          <t>Business Impact:NIAT:B4::Formative ≥8.0 → Summative ≥8.0 Conversion</t>
        </is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6">
        <f>IF(AND(ISNUMBER(O9),ISNUMBER(P9)),O9-P9,"")</f>
        <v/>
      </c>
      <c r="R9" s="65" t="n"/>
    </row>
    <row r="10" ht="110" customHeight="1">
      <c r="A10" s="60" t="n">
        <v>8</v>
      </c>
      <c r="B10" s="61" t="n"/>
      <c r="C10" s="62" t="inlineStr">
        <is>
          <t>Business Impact</t>
        </is>
      </c>
      <c r="D10" s="60" t="inlineStr">
        <is>
          <t>All</t>
        </is>
      </c>
      <c r="E10" s="60" t="inlineStr">
        <is>
          <t>All</t>
        </is>
      </c>
      <c r="F10" s="63" t="inlineStr">
        <is>
          <t>Engagement-Matrix Cell Migration  [SAMPLE]</t>
        </is>
      </c>
      <c r="G10" s="62" t="inlineStr">
        <is>
          <t>Business Impact:All::% Learners in HE×HV Cell</t>
        </is>
      </c>
      <c r="H10" s="62" t="inlineStr">
        <is>
          <t>% of learners in the HE×HV (high-effort × high-value) cell; the full 3×3 matrix stays diagnostic</t>
        </is>
      </c>
      <c r="I10" s="62" t="inlineStr">
        <is>
          <t>capability adoption (tutor, revision, leaderboard, adaptive) · LE effort signals · value signals</t>
        </is>
      </c>
      <c r="J10" s="62" t="inlineStr">
        <is>
          <t>capabilities adopted → effort &amp; value rise → cells migrate up → scores follow → SPI Bands (leading)</t>
        </is>
      </c>
      <c r="K10" s="62" t="inlineStr">
        <is>
          <t>Product Managers + Engineering + DA/DEs</t>
        </is>
      </c>
      <c r="L10" s="62" t="inlineStr">
        <is>
          <t>Learning Platform</t>
        </is>
      </c>
      <c r="M10" s="60" t="inlineStr">
        <is>
          <t>%</t>
        </is>
      </c>
      <c r="N10" s="62" t="inlineStr">
        <is>
          <t>Per cycle · read monthly</t>
        </is>
      </c>
      <c r="O10" s="64" t="n">
        <v>10</v>
      </c>
      <c r="P10" s="65" t="n"/>
      <c r="Q10" s="66">
        <f>IF(AND(ISNUMBER(O10),ISNUMBER(P10)),O10-P10,"")</f>
        <v/>
      </c>
      <c r="R10" s="62" t="inlineStr">
        <is>
          <t>SAMPLE — from ~4% baseline; budget confirms when the LE dashboard lands. Alt pick: M×M 10 → 20. Arbitration with the conversion chain: both red → the bleeding cell names the lane — high effort + low value = content not converting effort (Learning Domains); effort itself draining = engagement problem (Learning Platform).</t>
        </is>
      </c>
    </row>
    <row r="11" ht="30" customHeight="1">
      <c r="A11" s="65" t="n"/>
      <c r="B11" s="61" t="n"/>
      <c r="C11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1" s="65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</row>
    <row r="12" ht="32" customHeight="1">
      <c r="A12" s="67" t="n">
        <v>9</v>
      </c>
      <c r="B12" s="68" t="inlineStr">
        <is>
          <t>KRA 2 — Academics CSAT
4.5 / 5</t>
        </is>
      </c>
      <c r="C12" s="69" t="inlineStr">
        <is>
          <t>Content Efficiency</t>
        </is>
      </c>
      <c r="D12" s="67" t="inlineStr">
        <is>
          <t>All</t>
        </is>
      </c>
      <c r="E12" s="67" t="inlineStr">
        <is>
          <t>All</t>
        </is>
      </c>
      <c r="F12" s="70" t="inlineStr">
        <is>
          <t>Content Issue Resolution Efficiency</t>
        </is>
      </c>
      <c r="G12" s="69" t="inlineStr">
        <is>
          <t>Content Efficiency:All::Content Issue Resolution Efficiency</t>
        </is>
      </c>
      <c r="H12" s="69" t="inlineStr">
        <is>
          <t>% of content issues resolved within the 2-day TAT — resolved = fix live + students notified</t>
        </is>
      </c>
      <c r="I12" s="69" t="inlineStr">
        <is>
          <t>issue intake &amp; triage · fix TAT 48 h · student notified</t>
        </is>
      </c>
      <c r="J12" s="69" t="inlineStr">
        <is>
          <t>issue reported → fixed in 48 h → trust in content → Academics CSAT</t>
        </is>
      </c>
      <c r="K12" s="69" t="inlineStr">
        <is>
          <t>Content + Engineering</t>
        </is>
      </c>
      <c r="L12" s="69" t="inlineStr">
        <is>
          <t>Learning Domains</t>
        </is>
      </c>
      <c r="M12" s="67" t="inlineStr">
        <is>
          <t>%</t>
        </is>
      </c>
      <c r="N12" s="69" t="inlineStr">
        <is>
          <t>Monthly</t>
        </is>
      </c>
      <c r="O12" s="71" t="n">
        <v>80</v>
      </c>
      <c r="P12" s="72" t="n"/>
      <c r="Q12" s="73">
        <f>IF(AND(ISNUMBER(O12),ISNUMBER(P12)),O12-P12,"")</f>
        <v/>
      </c>
      <c r="R12" s="69" t="inlineStr">
        <is>
          <t>The % climbs over the year; the 2-day TAT itself doesn't move.</t>
        </is>
      </c>
    </row>
    <row r="13" ht="45" customHeight="1">
      <c r="A13" s="74" t="n">
        <v>10</v>
      </c>
      <c r="B13" s="75" t="n"/>
      <c r="C13" s="76" t="inlineStr">
        <is>
          <t>Content Efficiency</t>
        </is>
      </c>
      <c r="D13" s="74" t="inlineStr">
        <is>
          <t>All</t>
        </is>
      </c>
      <c r="E13" s="74" t="inlineStr">
        <is>
          <t>All</t>
        </is>
      </c>
      <c r="F13" s="77" t="inlineStr">
        <is>
          <t>Content Issue Recurrence</t>
        </is>
      </c>
      <c r="G13" s="76" t="inlineStr">
        <is>
          <t>Content Efficiency:All::Content Issue Recurrence</t>
        </is>
      </c>
      <c r="H13" s="76" t="inlineStr">
        <is>
          <t>% of resolved content issues that recur — root-cause close: instance fixed · artifact changed · tripwire added · broadcast sent</t>
        </is>
      </c>
      <c r="I13" s="76" t="inlineStr">
        <is>
          <t>root-cause close — 4-checkbox: instance fixed · artifact changed · tripwire added · broadcast sent</t>
        </is>
      </c>
      <c r="J13" s="76" t="inlineStr">
        <is>
          <t>fixed once → closed at root cause → never twice → trust → Academics CSAT</t>
        </is>
      </c>
      <c r="K13" s="76" t="inlineStr">
        <is>
          <t>Content + Engineering</t>
        </is>
      </c>
      <c r="L13" s="76" t="inlineStr">
        <is>
          <t>Learning Domains</t>
        </is>
      </c>
      <c r="M13" s="74" t="inlineStr">
        <is>
          <t>%</t>
        </is>
      </c>
      <c r="N13" s="76" t="inlineStr">
        <is>
          <t>Quarterly</t>
        </is>
      </c>
      <c r="O13" s="78" t="n">
        <v>2</v>
      </c>
      <c r="P13" s="79" t="n"/>
      <c r="Q13" s="80">
        <f>IF(AND(ISNUMBER(O13),ISNUMBER(P13)),O13-P13,"")</f>
        <v/>
      </c>
      <c r="R13" s="76" t="inlineStr">
        <is>
          <t>Lower is better — variance reads inverted.</t>
        </is>
      </c>
    </row>
    <row r="14" ht="136" customHeight="1">
      <c r="A14" s="74" t="n">
        <v>11</v>
      </c>
      <c r="B14" s="75" t="n"/>
      <c r="C14" s="76" t="inlineStr">
        <is>
          <t>Content Efficiency</t>
        </is>
      </c>
      <c r="D14" s="74" t="inlineStr">
        <is>
          <t>All</t>
        </is>
      </c>
      <c r="E14" s="74" t="inlineStr">
        <is>
          <t>All</t>
        </is>
      </c>
      <c r="F14" s="77" t="inlineStr">
        <is>
          <t>Agentic Production Coverage</t>
        </is>
      </c>
      <c r="G14" s="76" t="inlineStr">
        <is>
          <t>Content Efficiency:All::Agentic Production Coverage</t>
        </is>
      </c>
      <c r="H14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4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4" s="76" t="inlineStr">
        <is>
          <t>more production through governed pipelines → faster fixes + consistent quality at scale (CIRE / CIR run through these pipes) → Academics CSAT</t>
        </is>
      </c>
      <c r="K14" s="76" t="inlineStr">
        <is>
          <t>Content–Central + DA/DEs — pipelines &amp; production workflows; domain teams publish through them</t>
        </is>
      </c>
      <c r="L14" s="76" t="inlineStr">
        <is>
          <t>Agentic Content Platform</t>
        </is>
      </c>
      <c r="M14" s="74" t="inlineStr">
        <is>
          <t>%</t>
        </is>
      </c>
      <c r="N14" s="76" t="inlineStr">
        <is>
          <t>Monthly</t>
        </is>
      </c>
      <c r="O14" s="78" t="n">
        <v>90</v>
      </c>
      <c r="P14" s="79" t="n"/>
      <c r="Q14" s="80">
        <f>IF(AND(ISNUMBER(O14),ISNUMBER(P14)),O14-P14,"")</f>
        <v/>
      </c>
      <c r="R14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5" ht="71" customHeight="1">
      <c r="A15" s="74" t="n">
        <v>12</v>
      </c>
      <c r="B15" s="75" t="n"/>
      <c r="C15" s="76" t="inlineStr">
        <is>
          <t>Content Effectiveness</t>
        </is>
      </c>
      <c r="D15" s="74" t="inlineStr">
        <is>
          <t>All</t>
        </is>
      </c>
      <c r="E15" s="74" t="inlineStr">
        <is>
          <t>All</t>
        </is>
      </c>
      <c r="F15" s="77" t="inlineStr">
        <is>
          <t>Learning Environment Satisfaction</t>
        </is>
      </c>
      <c r="G15" s="76" t="inlineStr">
        <is>
          <t>Content Effectiveness:All::Learning Environment Satisfaction</t>
        </is>
      </c>
      <c r="H15" s="76" t="inlineStr">
        <is>
          <t>Student rating of the learning environment — driven by the four platform rows below</t>
        </is>
      </c>
      <c r="I15" s="76" t="inlineStr">
        <is>
          <t>driven by the four rows below</t>
        </is>
      </c>
      <c r="J15" s="76" t="inlineStr">
        <is>
          <t>platform reliable &amp; fast → rating ≥4.5 → Academics CSAT</t>
        </is>
      </c>
      <c r="K15" s="76" t="inlineStr">
        <is>
          <t>Engineering</t>
        </is>
      </c>
      <c r="L15" s="76" t="inlineStr">
        <is>
          <t>Developer Platform</t>
        </is>
      </c>
      <c r="M15" s="74" t="inlineStr">
        <is>
          <t>score /5</t>
        </is>
      </c>
      <c r="N15" s="76" t="inlineStr">
        <is>
          <t>Monthly</t>
        </is>
      </c>
      <c r="O15" s="78" t="n">
        <v>4.5</v>
      </c>
      <c r="P15" s="79" t="n"/>
      <c r="Q15" s="80">
        <f>IF(AND(ISNUMBER(O15),ISNUMBER(P15)),O15-P15,"")</f>
        <v/>
      </c>
      <c r="R15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16" ht="32" customHeight="1">
      <c r="A16" s="74" t="n">
        <v>13</v>
      </c>
      <c r="B16" s="75" t="n"/>
      <c r="C16" s="76" t="inlineStr">
        <is>
          <t>Platform Reliability</t>
        </is>
      </c>
      <c r="D16" s="74" t="inlineStr">
        <is>
          <t>All</t>
        </is>
      </c>
      <c r="E16" s="74" t="inlineStr">
        <is>
          <t>All</t>
        </is>
      </c>
      <c r="F16" s="77" t="inlineStr">
        <is>
          <t>Availability &amp; Saturation Detection</t>
        </is>
      </c>
      <c r="G16" s="76" t="inlineStr">
        <is>
          <t>Platform Reliability:All::Availability &amp; Saturation Detection</t>
        </is>
      </c>
      <c r="H16" s="76" t="inlineStr">
        <is>
          <t>% of critical-service saturations alerted, detection ≤10 min (IDE, compiler, workflows)</t>
        </is>
      </c>
      <c r="I16" s="76" t="inlineStr">
        <is>
          <t>critical services (IDE, compiler, workflows) · alert thresholds · detection time</t>
        </is>
      </c>
      <c r="J16" s="76" t="inlineStr">
        <is>
          <t>saturation detected ≤10 min → fixed before students feel it → LES → Academics CSAT</t>
        </is>
      </c>
      <c r="K16" s="76" t="inlineStr">
        <is>
          <t>Engineering</t>
        </is>
      </c>
      <c r="L16" s="76" t="inlineStr">
        <is>
          <t>Developer Platform</t>
        </is>
      </c>
      <c r="M16" s="74" t="inlineStr">
        <is>
          <t>%</t>
        </is>
      </c>
      <c r="N16" s="76" t="inlineStr">
        <is>
          <t>Monthly</t>
        </is>
      </c>
      <c r="O16" s="78" t="n">
        <v>100</v>
      </c>
      <c r="P16" s="79" t="n"/>
      <c r="Q16" s="80">
        <f>IF(AND(ISNUMBER(O16),ISNUMBER(P16)),O16-P16,"")</f>
        <v/>
      </c>
      <c r="R16" s="76" t="inlineStr"/>
    </row>
    <row r="17" ht="32" customHeight="1">
      <c r="A17" s="74" t="n">
        <v>14</v>
      </c>
      <c r="B17" s="75" t="n"/>
      <c r="C17" s="76" t="inlineStr">
        <is>
          <t>Platform Reliability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Tail-Latency User Impact</t>
        </is>
      </c>
      <c r="G17" s="76" t="inlineStr">
        <is>
          <t>Platform Reliability:All::Tail-Latency User Impact</t>
        </is>
      </c>
      <c r="H17" s="76" t="inlineStr">
        <is>
          <t>% of students beyond P99 latency limits — IDE launch / submit / publish &lt;60 s</t>
        </is>
      </c>
      <c r="I17" s="76" t="inlineStr">
        <is>
          <t>IDE launch / submit / publish P99 &lt;60 s · compiler per-language limits</t>
        </is>
      </c>
      <c r="J17" s="76" t="inlineStr">
        <is>
          <t>P99 within limits → coding feels instant → LES → Academics CSAT</t>
        </is>
      </c>
      <c r="K17" s="76" t="inlineStr">
        <is>
          <t>Engineering</t>
        </is>
      </c>
      <c r="L17" s="76" t="inlineStr">
        <is>
          <t>Developer Platform</t>
        </is>
      </c>
      <c r="M17" s="74" t="inlineStr">
        <is>
          <t>%</t>
        </is>
      </c>
      <c r="N17" s="76" t="inlineStr">
        <is>
          <t>Monthly</t>
        </is>
      </c>
      <c r="O17" s="78" t="n">
        <v>0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Platform Reliability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Platform Issue Resolution Efficiency</t>
        </is>
      </c>
      <c r="G18" s="76" t="inlineStr">
        <is>
          <t>Platform Reliability:All::Platform Issue Resolution Efficiency</t>
        </is>
      </c>
      <c r="H18" s="76" t="inlineStr">
        <is>
          <t>% of platform issues resolved within the 2-day TAT (internal same-day)</t>
        </is>
      </c>
      <c r="I18" s="76" t="inlineStr">
        <is>
          <t>2-day TAT (internal same-day)</t>
        </is>
      </c>
      <c r="J18" s="76" t="inlineStr">
        <is>
          <t>platform issue → fixed fast → LES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%</t>
        </is>
      </c>
      <c r="N18" s="76" t="inlineStr">
        <is>
          <t>Monthly</t>
        </is>
      </c>
      <c r="O18" s="78" t="n">
        <v>80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Platform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Platform Issue Recurrence</t>
        </is>
      </c>
      <c r="G19" s="76" t="inlineStr">
        <is>
          <t>Platform Reliability:All::Platform Issue Recurrence</t>
        </is>
      </c>
      <c r="H19" s="76" t="inlineStr">
        <is>
          <t>% of resolved platform issues that recur (quarter)</t>
        </is>
      </c>
      <c r="I19" s="76" t="inlineStr">
        <is>
          <t>root-cause close</t>
        </is>
      </c>
      <c r="J19" s="76" t="inlineStr">
        <is>
          <t>fixed → never twice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Quarterly</t>
        </is>
      </c>
      <c r="O19" s="78" t="n">
        <v>2</v>
      </c>
      <c r="P19" s="79" t="n"/>
      <c r="Q19" s="80">
        <f>IF(AND(ISNUMBER(O19),ISNUMBER(P19)),O19-P19,"")</f>
        <v/>
      </c>
      <c r="R19" s="76" t="inlineStr">
        <is>
          <t>Lower is better — variance reads inverted.</t>
        </is>
      </c>
    </row>
    <row r="20" ht="110" customHeight="1">
      <c r="A20" s="74" t="n">
        <v>17</v>
      </c>
      <c r="B20" s="75" t="n"/>
      <c r="C20" s="76" t="inlineStr">
        <is>
          <t>Program Delivery</t>
        </is>
      </c>
      <c r="D20" s="74" t="inlineStr">
        <is>
          <t>NIAT</t>
        </is>
      </c>
      <c r="E20" s="74" t="inlineStr">
        <is>
          <t>All</t>
        </is>
      </c>
      <c r="F20" s="77" t="inlineStr">
        <is>
          <t>Journey Step Health</t>
        </is>
      </c>
      <c r="G20" s="76" t="inlineStr">
        <is>
          <t>Program Delivery:NIAT::Journey Step Health</t>
        </is>
      </c>
      <c r="H20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0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0" s="76" t="inlineStr">
        <is>
          <t>capabilities configured → 11 steps green → assembled experience works → Academics CSAT (+ SPI)</t>
        </is>
      </c>
      <c r="K20" s="76" t="inlineStr">
        <is>
          <t>Product Managers + DA/DEs + CSI team + Pedagogy Experts (journey design)</t>
        </is>
      </c>
      <c r="L20" s="76" t="inlineStr">
        <is>
          <t>Product Learning Experience</t>
        </is>
      </c>
      <c r="M20" s="74" t="inlineStr">
        <is>
          <t>%</t>
        </is>
      </c>
      <c r="N20" s="76" t="inlineStr">
        <is>
          <t>Monthly</t>
        </is>
      </c>
      <c r="O20" s="79" t="n"/>
      <c r="P20" s="79" t="n"/>
      <c r="Q20" s="80">
        <f>IF(AND(ISNUMBER(O20),ISNUMBER(P20)),O20-P20,"")</f>
        <v/>
      </c>
      <c r="R20" s="76" t="inlineStr">
        <is>
          <t>Q1 baseline sets the budget — blank until then (org-tracker precedent). Assembled KPI — steps owned per col I (§11 owner column); we orchestrate, route, escalate.</t>
        </is>
      </c>
    </row>
    <row r="21" ht="45" customHeight="1">
      <c r="A21" s="74" t="n">
        <v>18</v>
      </c>
      <c r="B21" s="75" t="n"/>
      <c r="C21" s="76" t="inlineStr">
        <is>
          <t>Content Efficiency</t>
        </is>
      </c>
      <c r="D21" s="74" t="inlineStr">
        <is>
          <t>NIAT</t>
        </is>
      </c>
      <c r="E21" s="74" t="inlineStr">
        <is>
          <t>All</t>
        </is>
      </c>
      <c r="F21" s="77" t="inlineStr">
        <is>
          <t>Product Issue Resolution Efficiency  [CROSS-FUNCTION]</t>
        </is>
      </c>
      <c r="G21" s="76" t="inlineStr">
        <is>
          <t>Content Efficiency:NIAT::Product Issue Resolution Efficiency</t>
        </is>
      </c>
      <c r="H21" s="76" t="inlineStr">
        <is>
          <t>% of student-reported product issues resolved within TAT — resolved across functions, we route; fix live + students notified</t>
        </is>
      </c>
      <c r="I21" s="76" t="inlineStr">
        <is>
          <t>routing to owning department · fix live · students notified (silent fixes don't count)</t>
        </is>
      </c>
      <c r="J21" s="76" t="inlineStr">
        <is>
          <t>any student issue → routed → fixed + notified → Academics CSAT</t>
        </is>
      </c>
      <c r="K21" s="76" t="inlineStr">
        <is>
          <t>Product Managers + CSI team</t>
        </is>
      </c>
      <c r="L21" s="76" t="inlineStr">
        <is>
          <t>Product Learning Experience</t>
        </is>
      </c>
      <c r="M21" s="74" t="inlineStr">
        <is>
          <t>%</t>
        </is>
      </c>
      <c r="N21" s="76" t="inlineStr">
        <is>
          <t>Monthly</t>
        </is>
      </c>
      <c r="O21" s="79" t="n"/>
      <c r="P21" s="79" t="n"/>
      <c r="Q21" s="80">
        <f>IF(AND(ISNUMBER(O21),ISNUMBER(P21)),O21-P21,"")</f>
        <v/>
      </c>
      <c r="R21" s="76" t="inlineStr">
        <is>
          <t>Q1 baseline sets the TAT target — blank until then.</t>
        </is>
      </c>
    </row>
    <row r="22" ht="32" customHeight="1">
      <c r="A22" s="74" t="n">
        <v>19</v>
      </c>
      <c r="B22" s="75" t="n"/>
      <c r="C22" s="76" t="inlineStr">
        <is>
          <t>Content Efficiency</t>
        </is>
      </c>
      <c r="D22" s="74" t="inlineStr">
        <is>
          <t>NIAT</t>
        </is>
      </c>
      <c r="E22" s="74" t="inlineStr">
        <is>
          <t>All</t>
        </is>
      </c>
      <c r="F22" s="77" t="inlineStr">
        <is>
          <t>Product Issue Recurrence  [CROSS-FUNCTION]</t>
        </is>
      </c>
      <c r="G22" s="76" t="inlineStr">
        <is>
          <t>Content Efficiency:NIAT::Product Issue Recurrence</t>
        </is>
      </c>
      <c r="H22" s="76" t="inlineStr">
        <is>
          <t>% of resolved product issues that recur at student-journey level (quarter)</t>
        </is>
      </c>
      <c r="I22" s="76" t="inlineStr">
        <is>
          <t>student-journey-level recurrence watch</t>
        </is>
      </c>
      <c r="J22" s="76" t="inlineStr">
        <is>
          <t>resolved once → never twice at journey level → Academics CSAT</t>
        </is>
      </c>
      <c r="K22" s="76" t="inlineStr">
        <is>
          <t>Product Managers + CSI team</t>
        </is>
      </c>
      <c r="L22" s="76" t="inlineStr">
        <is>
          <t>Product Learning Experience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24" customHeight="1">
      <c r="A23" s="81" t="n">
        <v>20</v>
      </c>
      <c r="B23" s="82" t="inlineStr">
        <is>
          <t>KRA 3 — University Relations CSAT
4.5 · 4.0 · 4.0</t>
        </is>
      </c>
      <c r="C23" s="83" t="inlineStr">
        <is>
          <t>University Alignment</t>
        </is>
      </c>
      <c r="D23" s="81" t="inlineStr">
        <is>
          <t>NIAT</t>
        </is>
      </c>
      <c r="E23" s="81" t="inlineStr">
        <is>
          <t>B3</t>
        </is>
      </c>
      <c r="F23" s="84" t="inlineStr">
        <is>
          <t>BOS Credit Acceptance</t>
        </is>
      </c>
      <c r="G23" s="83" t="inlineStr">
        <is>
          <t>University Alignment:NIAT:B3::BOS Credit Acceptance</t>
        </is>
      </c>
      <c r="H23" s="83" t="inlineStr">
        <is>
          <t>% of proposed credits accepted first-pass by the university BOS</t>
        </is>
      </c>
      <c r="I23" s="83" t="inlineStr">
        <is>
          <t>per-credit acceptance per university · curriculum finalisation (Bharath, PK Das, Visakha pending)</t>
        </is>
      </c>
      <c r="J23" s="83" t="inlineStr">
        <is>
          <t>credits proposed → accepted first pass → university leadership confidence → Univ Relations CSAT</t>
        </is>
      </c>
      <c r="K23" s="83" t="inlineStr">
        <is>
          <t>CSI team + Content</t>
        </is>
      </c>
      <c r="L23" s="83" t="inlineStr">
        <is>
          <t>Product Learning Experience</t>
        </is>
      </c>
      <c r="M23" s="81" t="inlineStr">
        <is>
          <t>%</t>
        </is>
      </c>
      <c r="N23" s="83" t="inlineStr">
        <is>
          <t>Per cycle</t>
        </is>
      </c>
      <c r="O23" s="85" t="n">
        <v>85</v>
      </c>
      <c r="P23" s="86" t="n"/>
      <c r="Q23" s="87">
        <f>IF(AND(ISNUMBER(O23),ISNUMBER(P23)),O23-P23,"")</f>
        <v/>
      </c>
      <c r="R23" s="83" t="inlineStr">
        <is>
          <t>Cohort rows split where targets differ: B3 85 · B4 90.</t>
        </is>
      </c>
    </row>
    <row r="24" ht="24" customHeight="1">
      <c r="A24" s="88" t="n">
        <v>21</v>
      </c>
      <c r="B24" s="89" t="n"/>
      <c r="C24" s="90" t="n"/>
      <c r="D24" s="90" t="n"/>
      <c r="E24" s="88" t="inlineStr">
        <is>
          <t>B4</t>
        </is>
      </c>
      <c r="F24" s="90" t="n"/>
      <c r="G24" s="91" t="inlineStr">
        <is>
          <t>University Alignment:NIAT:B4::BOS Credit Acceptance</t>
        </is>
      </c>
      <c r="H24" s="90" t="n"/>
      <c r="I24" s="90" t="n"/>
      <c r="J24" s="90" t="n"/>
      <c r="K24" s="90" t="n"/>
      <c r="L24" s="90" t="n"/>
      <c r="M24" s="90" t="n"/>
      <c r="N24" s="90" t="n"/>
      <c r="O24" s="92" t="n">
        <v>90</v>
      </c>
      <c r="P24" s="90" t="n"/>
      <c r="Q24" s="93">
        <f>IF(AND(ISNUMBER(O24),ISNUMBER(P24)),O24-P24,"")</f>
        <v/>
      </c>
      <c r="R24" s="90" t="n"/>
    </row>
    <row r="25" ht="30" customHeight="1">
      <c r="A25" s="90" t="n"/>
      <c r="B25" s="89" t="n"/>
      <c r="C25" s="109" t="inlineStr">
        <is>
          <t>Program Delivery Gap feeds this KRA too — tracked once as row 1 (CASCADE): delivered = approved plan → university trust → Univ Relations CSAT.</t>
        </is>
      </c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P25" s="90" t="n"/>
      <c r="Q25" s="90" t="n"/>
      <c r="R25" s="90" t="n"/>
    </row>
    <row r="26" ht="45" customHeight="1">
      <c r="A26" s="88" t="n">
        <v>22</v>
      </c>
      <c r="B26" s="89" t="n"/>
      <c r="C26" s="91" t="inlineStr">
        <is>
          <t>University Alignment</t>
        </is>
      </c>
      <c r="D26" s="88" t="inlineStr">
        <is>
          <t>NIAT</t>
        </is>
      </c>
      <c r="E26" s="88" t="inlineStr">
        <is>
          <t>—</t>
        </is>
      </c>
      <c r="F26" s="94" t="inlineStr">
        <is>
          <t>University Communication TAT</t>
        </is>
      </c>
      <c r="G26" s="91" t="inlineStr">
        <is>
          <t>University Alignment:NIAT::University Communication TAT</t>
        </is>
      </c>
      <c r="H26" s="91" t="inlineStr">
        <is>
          <t>% of university requests answered within TAT — ack ≤1 business day, standard 3-day TAT</t>
        </is>
      </c>
      <c r="I26" s="91" t="inlineStr">
        <is>
          <t>ack ≤1 business day · request-class TATs (standard 3 days, heavy artefacts pre-agreed) · university-request log (month 1)</t>
        </is>
      </c>
      <c r="J26" s="91" t="inlineStr">
        <is>
          <t>requests answered in TAT → partnership friction drops → Univ Relations CSAT</t>
        </is>
      </c>
      <c r="K26" s="91" t="inlineStr">
        <is>
          <t>CSI team</t>
        </is>
      </c>
      <c r="L26" s="91" t="inlineStr">
        <is>
          <t>Product Learning Experience</t>
        </is>
      </c>
      <c r="M26" s="88" t="inlineStr">
        <is>
          <t>%</t>
        </is>
      </c>
      <c r="N26" s="91" t="inlineStr">
        <is>
          <t>Monthly</t>
        </is>
      </c>
      <c r="O26" s="92" t="n">
        <v>90</v>
      </c>
      <c r="P26" s="90" t="n"/>
      <c r="Q26" s="93">
        <f>IF(AND(ISNUMBER(O26),ISNUMBER(P26)),O26-P26,"")</f>
        <v/>
      </c>
      <c r="R26" s="91" t="inlineStr">
        <is>
          <t>University-request log builds in month 1.</t>
        </is>
      </c>
    </row>
    <row r="27" ht="32" customHeight="1">
      <c r="A27" s="88" t="n">
        <v>23</v>
      </c>
      <c r="B27" s="89" t="n"/>
      <c r="C27" s="91" t="inlineStr">
        <is>
          <t>University Alignment</t>
        </is>
      </c>
      <c r="D27" s="88" t="inlineStr">
        <is>
          <t>NIAT</t>
        </is>
      </c>
      <c r="E27" s="88" t="inlineStr">
        <is>
          <t>All</t>
        </is>
      </c>
      <c r="F27" s="94" t="inlineStr">
        <is>
          <t>University Curriculum &amp; Framework Compliance</t>
        </is>
      </c>
      <c r="G27" s="91" t="inlineStr">
        <is>
          <t>University Alignment:NIAT::University Curriculum &amp; Framework Compliance</t>
        </is>
      </c>
      <c r="H27" s="91" t="inlineStr">
        <is>
          <t>% of submission cycles fully compliant — approved BOS syllabus + NHQRF / Woolf / AICTE / UGC</t>
        </is>
      </c>
      <c r="I27" s="91" t="inlineStr">
        <is>
          <t>delivery matches the approved BOS syllabus · NHQRF / Woolf / AICTE / UGC audits</t>
        </is>
      </c>
      <c r="J27" s="91" t="inlineStr">
        <is>
          <t>BOS &amp; frameworks kept → zero partnership risk → Univ Relations CSAT</t>
        </is>
      </c>
      <c r="K27" s="91" t="inlineStr">
        <is>
          <t>CSI team + Content</t>
        </is>
      </c>
      <c r="L27" s="91" t="inlineStr">
        <is>
          <t>Product Learning Experience</t>
        </is>
      </c>
      <c r="M27" s="88" t="inlineStr">
        <is>
          <t>%</t>
        </is>
      </c>
      <c r="N27" s="91" t="inlineStr">
        <is>
          <t>Per cycle</t>
        </is>
      </c>
      <c r="O27" s="92" t="n">
        <v>100</v>
      </c>
      <c r="P27" s="90" t="n"/>
      <c r="Q27" s="93">
        <f>IF(AND(ISNUMBER(O27),ISNUMBER(P27)),O27-P27,"")</f>
        <v/>
      </c>
      <c r="R27" s="91" t="inlineStr"/>
    </row>
    <row r="28" ht="32" customHeight="1">
      <c r="A28" s="95" t="n">
        <v>24</v>
      </c>
      <c r="B28" s="96" t="inlineStr">
        <is>
          <t>KRA 4 — GRIT Novice Badges
5,000</t>
        </is>
      </c>
      <c r="C28" s="97" t="inlineStr">
        <is>
          <t>Content Relevance</t>
        </is>
      </c>
      <c r="D28" s="95" t="inlineStr">
        <is>
          <t>NIAT</t>
        </is>
      </c>
      <c r="E28" s="95" t="inlineStr">
        <is>
          <t>All</t>
        </is>
      </c>
      <c r="F28" s="98" t="inlineStr">
        <is>
          <t>Industry Update Adherence</t>
        </is>
      </c>
      <c r="G28" s="97" t="inlineStr">
        <is>
          <t>Content Relevance:NIAT::Industry Update Adherence</t>
        </is>
      </c>
      <c r="H28" s="97" t="inlineStr">
        <is>
          <t>% of GRIT-tested skills covered in live course content — Learning–GRIT delta → 0</t>
        </is>
      </c>
      <c r="I28" s="97" t="inlineStr">
        <is>
          <t>GRIT-tested skills inventory vs live course content</t>
        </is>
      </c>
      <c r="J28" s="97" t="inlineStr">
        <is>
          <t>course content covers GRIT-tested skills → students contest-ready → Novice badges</t>
        </is>
      </c>
      <c r="K28" s="97" t="inlineStr">
        <is>
          <t>Content</t>
        </is>
      </c>
      <c r="L28" s="97" t="inlineStr">
        <is>
          <t>Learning Domains</t>
        </is>
      </c>
      <c r="M28" s="95" t="inlineStr">
        <is>
          <t>%</t>
        </is>
      </c>
      <c r="N28" s="97" t="inlineStr">
        <is>
          <t>Quarterly</t>
        </is>
      </c>
      <c r="O28" s="99" t="n">
        <v>100</v>
      </c>
      <c r="P28" s="100" t="n"/>
      <c r="Q28" s="101">
        <f>IF(AND(ISNUMBER(O28),ISNUMBER(P28)),O28-P28,"")</f>
        <v/>
      </c>
      <c r="R28" s="97" t="inlineStr"/>
    </row>
    <row r="29" ht="30" customHeight="1">
      <c r="A29" s="102" t="n"/>
      <c r="B29" s="103" t="n"/>
      <c r="C29" s="104" t="inlineStr">
        <is>
          <t>GRIT-feature KPIs — org-owned, pending definition with the GRIT owner (Sundar); rows enter the tracker when defined.</t>
        </is>
      </c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30" customHeight="1">
      <c r="A30" s="105" t="n"/>
      <c r="B30" s="106" t="inlineStr">
        <is>
          <t>KRA 5 — Employability
B3 80% · B4 80%</t>
        </is>
      </c>
      <c r="C30" s="107" t="inlineStr">
        <is>
          <t>Employability mapping deliberately not forced — skill mastery is the long lever; rows enter the tracker when the mapping is agreed.</t>
        </is>
      </c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</row>
  </sheetData>
  <mergeCells count="68">
    <mergeCell ref="R4:R5"/>
    <mergeCell ref="C4:C5"/>
    <mergeCell ref="B30"/>
    <mergeCell ref="H6:H7"/>
    <mergeCell ref="C1:C2"/>
    <mergeCell ref="J6:J7"/>
    <mergeCell ref="E1:E2"/>
    <mergeCell ref="K1:K2"/>
    <mergeCell ref="R6:R7"/>
    <mergeCell ref="C11:R11"/>
    <mergeCell ref="M1:M2"/>
    <mergeCell ref="F8:F9"/>
    <mergeCell ref="L8:L9"/>
    <mergeCell ref="D4:D5"/>
    <mergeCell ref="J4:J5"/>
    <mergeCell ref="N8:N9"/>
    <mergeCell ref="L4:L5"/>
    <mergeCell ref="M6:M7"/>
    <mergeCell ref="B1:B2"/>
    <mergeCell ref="F23:F24"/>
    <mergeCell ref="L23:L24"/>
    <mergeCell ref="B28:B29"/>
    <mergeCell ref="L1:L2"/>
    <mergeCell ref="N23:N24"/>
    <mergeCell ref="C30:R30"/>
    <mergeCell ref="N1:N2"/>
    <mergeCell ref="C23:C24"/>
    <mergeCell ref="C8:C9"/>
    <mergeCell ref="I8:I9"/>
    <mergeCell ref="K23:K24"/>
    <mergeCell ref="K8:K9"/>
    <mergeCell ref="M8:M9"/>
    <mergeCell ref="I4:I5"/>
    <mergeCell ref="K4:K5"/>
    <mergeCell ref="D8:D9"/>
    <mergeCell ref="L6:L7"/>
    <mergeCell ref="G1:G2"/>
    <mergeCell ref="N6:N7"/>
    <mergeCell ref="I23:I24"/>
    <mergeCell ref="I1:I2"/>
    <mergeCell ref="C29:R29"/>
    <mergeCell ref="M23:M24"/>
    <mergeCell ref="O1:R1"/>
    <mergeCell ref="C25:R25"/>
    <mergeCell ref="J23:J24"/>
    <mergeCell ref="M4:M5"/>
    <mergeCell ref="R23:R24"/>
    <mergeCell ref="B23:B27"/>
    <mergeCell ref="H8:H9"/>
    <mergeCell ref="B12:B22"/>
    <mergeCell ref="F4:F5"/>
    <mergeCell ref="J8:J9"/>
    <mergeCell ref="H4:H5"/>
    <mergeCell ref="N4:N5"/>
    <mergeCell ref="I6:I7"/>
    <mergeCell ref="R8:R9"/>
    <mergeCell ref="D23:D24"/>
    <mergeCell ref="D1:D2"/>
    <mergeCell ref="K6:K7"/>
    <mergeCell ref="B3:B11"/>
    <mergeCell ref="F1:F2"/>
    <mergeCell ref="C6:C7"/>
    <mergeCell ref="H1:H2"/>
    <mergeCell ref="D6:D7"/>
    <mergeCell ref="H23:H24"/>
    <mergeCell ref="J1:J2"/>
    <mergeCell ref="F6:F7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Learning-conversion chain (Practice → Module-Quiz → Formative → Summative) · Content Issue pair (fixes) · BOS curriculum artifacts · Compliance · Industry Update Adherence</t>
        </is>
      </c>
      <c r="C2" s="112">
        <f>COUNTIF('KPI Tracker FY26-27'!$K$3:$K$30,"*Content*")-COUNTIF('KPI Tracker FY26-27'!$K$3:$K$30,"*Content–Central*")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FY26-27'!$K$3:$K$30,"*Content–Central*")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FY26-27'!$K$3:$K$30,"*Engineering*")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FY26-27'!$K$3:$K$30,"*Product Managers*")</f>
        <v/>
      </c>
    </row>
    <row r="6" ht="30" customHeight="1">
      <c r="A6" s="110" t="inlineStr">
        <is>
          <t>Pedagogy Experts</t>
        </is>
      </c>
      <c r="B6" s="111" t="inlineStr">
        <is>
          <t>Learning-conversion chain (Practice → Module-Quiz → Formative → Summative) · Journey Step Health (journey design at the CSI team)</t>
        </is>
      </c>
      <c r="C6" s="112">
        <f>COUNTIF('KPI Tracker FY26-27'!$K$3:$K$30,"*Pedagogy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(conversion chain; band + alignment diagnostic cuts) · LE dashboard (cell migration) · Journey Step Health instrumentation · Agentic Production Coverage instrumentation</t>
        </is>
      </c>
      <c r="C7" s="112">
        <f>COUNTIF('KPI Tracker FY26-27'!$K$3:$K$30,"*DA/DE*")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FY26-27'!$K$3:$K$30,"*CSI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FY26-27'!$K$3:$K$30,"*Graphic Designers*")</f>
        <v/>
      </c>
    </row>
    <row r="10" ht="30" customHeight="1">
      <c r="A10" s="113" t="inlineStr">
        <is>
          <t>Counts are per metric — a metric/cohort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 (4) Module-Quiz Score Bands + Content–Assessment Alignment — retired as budgeted rows Aug 2026, replaced by the three-row learning-conversion chain (each stage conditioned on its own funnel input); both stay as read-only diagnostic cuts in the DA/DE monthly score analysis — alignment uniquely catches the quiz-too-harsh direction (formative above quiz).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5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T17</t>
        </is>
      </c>
      <c r="B6" s="120" t="inlineStr">
        <is>
          <t>A</t>
        </is>
      </c>
      <c r="C6" s="121">
        <f>IF('KPI Tracker FY26-27'!C20="","",'KPI Tracker FY26-27'!C20)</f>
        <v/>
      </c>
      <c r="D6" s="120">
        <f>IF('KPI Tracker FY26-27'!D20="","",'KPI Tracker FY26-27'!D20)</f>
        <v/>
      </c>
      <c r="E6" s="120">
        <f>IF('KPI Tracker FY26-27'!E20="","",'KPI Tracker FY26-27'!E20)</f>
        <v/>
      </c>
      <c r="F6" s="122">
        <f>IF('KPI Tracker FY26-27'!G20="","",'KPI Tracker FY26-27'!G20)</f>
        <v/>
      </c>
      <c r="G6" s="121">
        <f>IF('KPI Tracker FY26-27'!H20="","",'KPI Tracker FY26-27'!H20)</f>
        <v/>
      </c>
      <c r="H6" s="121" t="inlineStr">
        <is>
          <t>inherited — via Functions (col K)</t>
        </is>
      </c>
      <c r="I6" s="120">
        <f>IF('KPI Tracker FY26-27'!M20="","",'KPI Tracker FY26-27'!M20)</f>
        <v/>
      </c>
      <c r="J6" s="120">
        <f>IF('KPI Tracker FY26-27'!N20="","",'KPI Tracker FY26-27'!N20)</f>
        <v/>
      </c>
      <c r="K6" s="120">
        <f>IF('KPI Tracker FY26-27'!O20="","",'KPI Tracker FY26-27'!O20)</f>
        <v/>
      </c>
      <c r="L6" s="120">
        <f>IF('KPI Tracker FY26-27'!P20="","",'KPI Tracker FY26-27'!P20)</f>
        <v/>
      </c>
      <c r="M6" s="120">
        <f>IF('KPI Tracker FY26-27'!Q20="","",'KPI Tracker FY26-27'!Q20)</f>
        <v/>
      </c>
      <c r="N6" s="121">
        <f>IF('KPI Tracker FY26-27'!R20="","",'KPI Tracker FY26-27'!R20)</f>
        <v/>
      </c>
    </row>
    <row r="7" ht="45" customHeight="1">
      <c r="A7" s="120" t="inlineStr">
        <is>
          <t>T18</t>
        </is>
      </c>
      <c r="B7" s="120" t="inlineStr">
        <is>
          <t>A</t>
        </is>
      </c>
      <c r="C7" s="121">
        <f>IF('KPI Tracker FY26-27'!C21="","",'KPI Tracker FY26-27'!C21)</f>
        <v/>
      </c>
      <c r="D7" s="120">
        <f>IF('KPI Tracker FY26-27'!D21="","",'KPI Tracker FY26-27'!D21)</f>
        <v/>
      </c>
      <c r="E7" s="120">
        <f>IF('KPI Tracker FY26-27'!E21="","",'KPI Tracker FY26-27'!E21)</f>
        <v/>
      </c>
      <c r="F7" s="122">
        <f>IF('KPI Tracker FY26-27'!G21="","",'KPI Tracker FY26-27'!G21)</f>
        <v/>
      </c>
      <c r="G7" s="121">
        <f>IF('KPI Tracker FY26-27'!H21="","",'KPI Tracker FY26-27'!H21)</f>
        <v/>
      </c>
      <c r="H7" s="121" t="inlineStr">
        <is>
          <t>inherited — via Functions (col K)</t>
        </is>
      </c>
      <c r="I7" s="120">
        <f>IF('KPI Tracker FY26-27'!M21="","",'KPI Tracker FY26-27'!M21)</f>
        <v/>
      </c>
      <c r="J7" s="120">
        <f>IF('KPI Tracker FY26-27'!N21="","",'KPI Tracker FY26-27'!N21)</f>
        <v/>
      </c>
      <c r="K7" s="120">
        <f>IF('KPI Tracker FY26-27'!O21="","",'KPI Tracker FY26-27'!O21)</f>
        <v/>
      </c>
      <c r="L7" s="120">
        <f>IF('KPI Tracker FY26-27'!P21="","",'KPI Tracker FY26-27'!P21)</f>
        <v/>
      </c>
      <c r="M7" s="120">
        <f>IF('KPI Tracker FY26-27'!Q21="","",'KPI Tracker FY26-27'!Q21)</f>
        <v/>
      </c>
      <c r="N7" s="121">
        <f>IF('KPI Tracker FY26-27'!R21="","",'KPI Tracker FY26-27'!R21)</f>
        <v/>
      </c>
    </row>
    <row r="8" ht="32" customHeight="1">
      <c r="A8" s="120" t="inlineStr">
        <is>
          <t>T19</t>
        </is>
      </c>
      <c r="B8" s="120" t="inlineStr">
        <is>
          <t>A</t>
        </is>
      </c>
      <c r="C8" s="121">
        <f>IF('KPI Tracker FY26-27'!C22="","",'KPI Tracker FY26-27'!C22)</f>
        <v/>
      </c>
      <c r="D8" s="120">
        <f>IF('KPI Tracker FY26-27'!D22="","",'KPI Tracker FY26-27'!D22)</f>
        <v/>
      </c>
      <c r="E8" s="120">
        <f>IF('KPI Tracker FY26-27'!E22="","",'KPI Tracker FY26-27'!E22)</f>
        <v/>
      </c>
      <c r="F8" s="122">
        <f>IF('KPI Tracker FY26-27'!G22="","",'KPI Tracker FY26-27'!G22)</f>
        <v/>
      </c>
      <c r="G8" s="121">
        <f>IF('KPI Tracker FY26-27'!H22="","",'KPI Tracker FY26-27'!H22)</f>
        <v/>
      </c>
      <c r="H8" s="121" t="inlineStr">
        <is>
          <t>inherited — via Functions (col K)</t>
        </is>
      </c>
      <c r="I8" s="120">
        <f>IF('KPI Tracker FY26-27'!M22="","",'KPI Tracker FY26-27'!M22)</f>
        <v/>
      </c>
      <c r="J8" s="120">
        <f>IF('KPI Tracker FY26-27'!N22="","",'KPI Tracker FY26-27'!N22)</f>
        <v/>
      </c>
      <c r="K8" s="120">
        <f>IF('KPI Tracker FY26-27'!O22="","",'KPI Tracker FY26-27'!O22)</f>
        <v/>
      </c>
      <c r="L8" s="120">
        <f>IF('KPI Tracker FY26-27'!P22="","",'KPI Tracker FY26-27'!P22)</f>
        <v/>
      </c>
      <c r="M8" s="120">
        <f>IF('KPI Tracker FY26-27'!Q22="","",'KPI Tracker FY26-27'!Q22)</f>
        <v/>
      </c>
      <c r="N8" s="121">
        <f>IF('KPI Tracker FY26-27'!R22="","",'KPI Tracker FY26-27'!R22)</f>
        <v/>
      </c>
    </row>
    <row r="9" ht="32" customHeight="1">
      <c r="A9" s="120" t="inlineStr">
        <is>
          <t>T20</t>
        </is>
      </c>
      <c r="B9" s="120" t="inlineStr">
        <is>
          <t>A</t>
        </is>
      </c>
      <c r="C9" s="121">
        <f>IF('KPI Tracker FY26-27'!C23="","",'KPI Tracker FY26-27'!C23)</f>
        <v/>
      </c>
      <c r="D9" s="120">
        <f>IF('KPI Tracker FY26-27'!D23="","",'KPI Tracker FY26-27'!D23)</f>
        <v/>
      </c>
      <c r="E9" s="120">
        <f>IF('KPI Tracker FY26-27'!E23="","",'KPI Tracker FY26-27'!E23)</f>
        <v/>
      </c>
      <c r="F9" s="122">
        <f>IF('KPI Tracker FY26-27'!G23="","",'KPI Tracker FY26-27'!G23)</f>
        <v/>
      </c>
      <c r="G9" s="121">
        <f>IF('KPI Tracker FY26-27'!H23="","",'KPI Tracker FY26-27'!H23)</f>
        <v/>
      </c>
      <c r="H9" s="121" t="inlineStr">
        <is>
          <t>inherited — via Functions (col K)</t>
        </is>
      </c>
      <c r="I9" s="120">
        <f>IF('KPI Tracker FY26-27'!M23="","",'KPI Tracker FY26-27'!M23)</f>
        <v/>
      </c>
      <c r="J9" s="120">
        <f>IF('KPI Tracker FY26-27'!N23="","",'KPI Tracker FY26-27'!N23)</f>
        <v/>
      </c>
      <c r="K9" s="120">
        <f>IF('KPI Tracker FY26-27'!O23="","",'KPI Tracker FY26-27'!O23)</f>
        <v/>
      </c>
      <c r="L9" s="120">
        <f>IF('KPI Tracker FY26-27'!P23="","",'KPI Tracker FY26-27'!P23)</f>
        <v/>
      </c>
      <c r="M9" s="120">
        <f>IF('KPI Tracker FY26-27'!Q23="","",'KPI Tracker FY26-27'!Q23)</f>
        <v/>
      </c>
      <c r="N9" s="121">
        <f>IF('KPI Tracker FY26-27'!R23="","",'KPI Tracker FY26-27'!R23)</f>
        <v/>
      </c>
    </row>
    <row r="10" ht="32" customHeight="1">
      <c r="A10" s="120" t="inlineStr">
        <is>
          <t>T21</t>
        </is>
      </c>
      <c r="B10" s="120" t="inlineStr">
        <is>
          <t>A</t>
        </is>
      </c>
      <c r="C10" s="121">
        <f>IF('KPI Tracker FY26-27'!C23="","",'KPI Tracker FY26-27'!C23)</f>
        <v/>
      </c>
      <c r="D10" s="120">
        <f>IF('KPI Tracker FY26-27'!D23="","",'KPI Tracker FY26-27'!D23)</f>
        <v/>
      </c>
      <c r="E10" s="120">
        <f>IF('KPI Tracker FY26-27'!E24="","",'KPI Tracker FY26-27'!E24)</f>
        <v/>
      </c>
      <c r="F10" s="122">
        <f>IF('KPI Tracker FY26-27'!G24="","",'KPI Tracker FY26-27'!G24)</f>
        <v/>
      </c>
      <c r="G10" s="121">
        <f>IF('KPI Tracker FY26-27'!H23="","",'KPI Tracker FY26-27'!H23)</f>
        <v/>
      </c>
      <c r="H10" s="121" t="inlineStr">
        <is>
          <t>inherited — via Functions (col K)</t>
        </is>
      </c>
      <c r="I10" s="120">
        <f>IF('KPI Tracker FY26-27'!M23="","",'KPI Tracker FY26-27'!M23)</f>
        <v/>
      </c>
      <c r="J10" s="120">
        <f>IF('KPI Tracker FY26-27'!N23="","",'KPI Tracker FY26-27'!N23)</f>
        <v/>
      </c>
      <c r="K10" s="120">
        <f>IF('KPI Tracker FY26-27'!O24="","",'KPI Tracker FY26-27'!O24)</f>
        <v/>
      </c>
      <c r="L10" s="120">
        <f>IF('KPI Tracker FY26-27'!P24="","",'KPI Tracker FY26-27'!P24)</f>
        <v/>
      </c>
      <c r="M10" s="120">
        <f>IF('KPI Tracker FY26-27'!Q24="","",'KPI Tracker FY26-27'!Q24)</f>
        <v/>
      </c>
      <c r="N10" s="121">
        <f>IF('KPI Tracker FY26-27'!R23="","",'KPI Tracker FY26-27'!R23)</f>
        <v/>
      </c>
    </row>
    <row r="11" ht="32" customHeight="1">
      <c r="A11" s="120" t="inlineStr">
        <is>
          <t>T22</t>
        </is>
      </c>
      <c r="B11" s="120" t="inlineStr">
        <is>
          <t>A</t>
        </is>
      </c>
      <c r="C11" s="121">
        <f>IF('KPI Tracker FY26-27'!C26="","",'KPI Tracker FY26-27'!C26)</f>
        <v/>
      </c>
      <c r="D11" s="120">
        <f>IF('KPI Tracker FY26-27'!D26="","",'KPI Tracker FY26-27'!D26)</f>
        <v/>
      </c>
      <c r="E11" s="120">
        <f>IF('KPI Tracker FY26-27'!E26="","",'KPI Tracker FY26-27'!E26)</f>
        <v/>
      </c>
      <c r="F11" s="122">
        <f>IF('KPI Tracker FY26-27'!G26="","",'KPI Tracker FY26-27'!G26)</f>
        <v/>
      </c>
      <c r="G11" s="121">
        <f>IF('KPI Tracker FY26-27'!H26="","",'KPI Tracker FY26-27'!H26)</f>
        <v/>
      </c>
      <c r="H11" s="121" t="inlineStr">
        <is>
          <t>inherited — via Functions (col K)</t>
        </is>
      </c>
      <c r="I11" s="120">
        <f>IF('KPI Tracker FY26-27'!M26="","",'KPI Tracker FY26-27'!M26)</f>
        <v/>
      </c>
      <c r="J11" s="120">
        <f>IF('KPI Tracker FY26-27'!N26="","",'KPI Tracker FY26-27'!N26)</f>
        <v/>
      </c>
      <c r="K11" s="120">
        <f>IF('KPI Tracker FY26-27'!O26="","",'KPI Tracker FY26-27'!O26)</f>
        <v/>
      </c>
      <c r="L11" s="120">
        <f>IF('KPI Tracker FY26-27'!P26="","",'KPI Tracker FY26-27'!P26)</f>
        <v/>
      </c>
      <c r="M11" s="120">
        <f>IF('KPI Tracker FY26-27'!Q26="","",'KPI Tracker FY26-27'!Q26)</f>
        <v/>
      </c>
      <c r="N11" s="121">
        <f>IF('KPI Tracker FY26-27'!R26="","",'KPI Tracker FY26-27'!R26)</f>
        <v/>
      </c>
    </row>
    <row r="12" ht="32" customHeight="1">
      <c r="A12" s="120" t="inlineStr">
        <is>
          <t>T23</t>
        </is>
      </c>
      <c r="B12" s="120" t="inlineStr">
        <is>
          <t>A</t>
        </is>
      </c>
      <c r="C12" s="121">
        <f>IF('KPI Tracker FY26-27'!C27="","",'KPI Tracker FY26-27'!C27)</f>
        <v/>
      </c>
      <c r="D12" s="120">
        <f>IF('KPI Tracker FY26-27'!D27="","",'KPI Tracker FY26-27'!D27)</f>
        <v/>
      </c>
      <c r="E12" s="120">
        <f>IF('KPI Tracker FY26-27'!E27="","",'KPI Tracker FY26-27'!E27)</f>
        <v/>
      </c>
      <c r="F12" s="122">
        <f>IF('KPI Tracker FY26-27'!G27="","",'KPI Tracker FY26-27'!G27)</f>
        <v/>
      </c>
      <c r="G12" s="121">
        <f>IF('KPI Tracker FY26-27'!H27="","",'KPI Tracker FY26-27'!H27)</f>
        <v/>
      </c>
      <c r="H12" s="121" t="inlineStr">
        <is>
          <t>inherited — via Functions (col K)</t>
        </is>
      </c>
      <c r="I12" s="120">
        <f>IF('KPI Tracker FY26-27'!M27="","",'KPI Tracker FY26-27'!M27)</f>
        <v/>
      </c>
      <c r="J12" s="120">
        <f>IF('KPI Tracker FY26-27'!N27="","",'KPI Tracker FY26-27'!N27)</f>
        <v/>
      </c>
      <c r="K12" s="120">
        <f>IF('KPI Tracker FY26-27'!O27="","",'KPI Tracker FY26-27'!O27)</f>
        <v/>
      </c>
      <c r="L12" s="120">
        <f>IF('KPI Tracker FY26-27'!P27="","",'KPI Tracker FY26-27'!P27)</f>
        <v/>
      </c>
      <c r="M12" s="120">
        <f>IF('KPI Tracker FY26-27'!Q27="","",'KPI Tracker FY26-27'!Q27)</f>
        <v/>
      </c>
      <c r="N12" s="121">
        <f>IF('KPI Tracker FY26-27'!R27="","",'KPI Tracker FY26-27'!R27)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92" customHeight="1">
      <c r="A16" s="123" t="n">
        <v>3</v>
      </c>
      <c r="B16" s="123" t="inlineStr">
        <is>
          <t>B</t>
        </is>
      </c>
      <c r="C16" s="124" t="inlineStr">
        <is>
          <t>Team Ops &amp; People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Cost of Operations</t>
        </is>
      </c>
      <c r="G16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(no baseline yet) — worklog capture builds the first read. Sub-metrics per activity (one-on-one coverage, status freshness…) get added as reads emerge. Run by the team's PM (reports to the Lead; KPI cascades Lead → PM).</t>
        </is>
      </c>
    </row>
    <row r="17" ht="58" customHeight="1">
      <c r="A17" s="123" t="n">
        <v>4</v>
      </c>
      <c r="B17" s="123" t="inlineStr">
        <is>
          <t>B</t>
        </is>
      </c>
      <c r="C17" s="124" t="inlineStr">
        <is>
          <t>Team Ops &amp; People</t>
        </is>
      </c>
      <c r="D17" s="123" t="inlineStr">
        <is>
          <t>All</t>
        </is>
      </c>
      <c r="E17" s="123" t="inlineStr">
        <is>
          <t>All</t>
        </is>
      </c>
      <c r="F17" s="125" t="inlineStr">
        <is>
          <t>Roadmap Items Completion</t>
        </is>
      </c>
      <c r="G17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17" s="124" t="inlineStr">
        <is>
          <t>hygiene — execution-predictability guardrail; no org ladder by design</t>
        </is>
      </c>
      <c r="I17" s="123" t="inlineStr">
        <is>
          <t>%</t>
        </is>
      </c>
      <c r="J17" s="123" t="inlineStr">
        <is>
          <t>Monthly</t>
        </is>
      </c>
      <c r="K17" s="123" t="n"/>
      <c r="L17" s="123" t="n"/>
      <c r="M17" s="126">
        <f>IF(AND(ISNUMBER(K17),ISNUMBER(L17)),K17-L17,"")</f>
        <v/>
      </c>
      <c r="N17" s="124" t="inlineStr">
        <is>
          <t>Cycle-anchored: the commitment is the Head-approved cycle roadmap; the % is read monthly as items land. Run by the team's PM.</t>
        </is>
      </c>
    </row>
    <row r="18" ht="45" customHeight="1">
      <c r="A18" s="123" t="n">
        <v>5</v>
      </c>
      <c r="B18" s="123" t="inlineStr">
        <is>
          <t>B</t>
        </is>
      </c>
      <c r="C18" s="124" t="inlineStr">
        <is>
          <t>Team Ops &amp; People</t>
        </is>
      </c>
      <c r="D18" s="123" t="inlineStr">
        <is>
          <t>All</t>
        </is>
      </c>
      <c r="E18" s="123" t="inlineStr">
        <is>
          <t>All</t>
        </is>
      </c>
      <c r="F18" s="125" t="inlineStr">
        <is>
          <t>Hires Made</t>
        </is>
      </c>
      <c r="G18" s="124" t="inlineStr">
        <is>
          <t>Offers joined against the team's approved hiring plan for the period. Reads whether the team is growing at the planned pace.</t>
        </is>
      </c>
      <c r="H18" s="124" t="inlineStr">
        <is>
          <t>hygiene — hiring-plan guardrail; no org ladder by design</t>
        </is>
      </c>
      <c r="I18" s="123" t="inlineStr">
        <is>
          <t>Count</t>
        </is>
      </c>
      <c r="J18" s="123" t="inlineStr">
        <is>
          <t>Monthly</t>
        </is>
      </c>
      <c r="K18" s="123" t="n"/>
      <c r="L18" s="123" t="n"/>
      <c r="M18" s="126">
        <f>IF(AND(ISNUMBER(K18),ISNUMBER(L18)),K18-L18,"")</f>
        <v/>
      </c>
      <c r="N18" s="124" t="inlineStr">
        <is>
          <t>Budget = the approved hiring plan. Run by the team's PM; hiring decisions stay with the Lead.</t>
        </is>
      </c>
    </row>
    <row r="19" ht="45" customHeight="1">
      <c r="A19" s="123" t="n">
        <v>6</v>
      </c>
      <c r="B19" s="123" t="inlineStr">
        <is>
          <t>B</t>
        </is>
      </c>
      <c r="C19" s="124" t="inlineStr">
        <is>
          <t>Team Ops &amp; People</t>
        </is>
      </c>
      <c r="D19" s="123" t="inlineStr">
        <is>
          <t>All</t>
        </is>
      </c>
      <c r="E19" s="123" t="inlineStr">
        <is>
          <t>All</t>
        </is>
      </c>
      <c r="F19" s="125" t="inlineStr">
        <is>
          <t>Cost per Hire</t>
        </is>
      </c>
      <c r="G19" s="124" t="inlineStr">
        <is>
          <t>Average cost per closed hire — sourcing, interview bandwidth and onboarding effort attributed to hiring for this team.</t>
        </is>
      </c>
      <c r="H19" s="124" t="inlineStr">
        <is>
          <t>hygiene — hiring-efficiency guardrail; no org ladder by design</t>
        </is>
      </c>
      <c r="I19" s="123" t="inlineStr">
        <is>
          <t>INR</t>
        </is>
      </c>
      <c r="J19" s="123" t="inlineStr">
        <is>
          <t>Monthly</t>
        </is>
      </c>
      <c r="K19" s="123" t="n"/>
      <c r="L19" s="123" t="n"/>
      <c r="M19" s="126">
        <f>IF(AND(ISNUMBER(K19),ISNUMBER(L19)),K19-L19,"")</f>
        <v/>
      </c>
      <c r="N19" s="124" t="inlineStr">
        <is>
          <t>Hiring cost split out of the old Operations &amp; Growth Cost row — worklogs attribute the interview bandwidth. Run by the team's PM.</t>
        </is>
      </c>
    </row>
    <row r="20" ht="71" customHeight="1">
      <c r="A20" s="123" t="n">
        <v>7</v>
      </c>
      <c r="B20" s="123" t="inlineStr">
        <is>
          <t>B</t>
        </is>
      </c>
      <c r="C20" s="124" t="inlineStr">
        <is>
          <t>Team Ops &amp; People</t>
        </is>
      </c>
      <c r="D20" s="123" t="inlineStr">
        <is>
          <t>All</t>
        </is>
      </c>
      <c r="E20" s="123" t="inlineStr">
        <is>
          <t>All</t>
        </is>
      </c>
      <c r="F20" s="125" t="inlineStr">
        <is>
          <t>Team Retention Rate</t>
        </is>
      </c>
      <c r="G20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20" s="124" t="inlineStr">
        <is>
          <t>hygiene — team-health guardrail; no org ladder by design</t>
        </is>
      </c>
      <c r="I20" s="123" t="inlineStr">
        <is>
          <t>%</t>
        </is>
      </c>
      <c r="J20" s="123" t="inlineStr">
        <is>
          <t>Per appraisal cycle</t>
        </is>
      </c>
      <c r="K20" s="123" t="n"/>
      <c r="L20" s="123" t="n"/>
      <c r="M20" s="126">
        <f>IF(AND(ISNUMBER(K20),ISNUMBER(L20)),K20-L20,"")</f>
        <v/>
      </c>
      <c r="N20" s="124" t="inlineStr">
        <is>
          <t>Trailing 12 months smooths small-team noise (one exit is a big % swing). Lead-driven outcome; the PM carries the machinery and the number.</t>
        </is>
      </c>
    </row>
    <row r="21" ht="45" customHeight="1">
      <c r="A21" s="123" t="n">
        <v>8</v>
      </c>
      <c r="B21" s="123" t="inlineStr">
        <is>
          <t>B</t>
        </is>
      </c>
      <c r="C21" s="124" t="inlineStr">
        <is>
          <t>Team Ops &amp; People</t>
        </is>
      </c>
      <c r="D21" s="123" t="inlineStr">
        <is>
          <t>All</t>
        </is>
      </c>
      <c r="E21" s="123" t="inlineStr">
        <is>
          <t>All</t>
        </is>
      </c>
      <c r="F21" s="125" t="inlineStr">
        <is>
          <t>Power Performers Created</t>
        </is>
      </c>
      <c r="G21" s="124" t="inlineStr">
        <is>
          <t>Team members newly reaching the top appraisal band in the cycle-wise appraisal. The direct metric for 'developing the best (mentoring subordinates)'.</t>
        </is>
      </c>
      <c r="H21" s="124" t="inlineStr">
        <is>
          <t>enabling → the §5 'developing the best (mentoring subordinates)' intent — its first direct metric</t>
        </is>
      </c>
      <c r="I21" s="123" t="inlineStr">
        <is>
          <t>Count</t>
        </is>
      </c>
      <c r="J21" s="123" t="inlineStr">
        <is>
          <t>Per appraisal cycle</t>
        </is>
      </c>
      <c r="K21" s="123" t="n"/>
      <c r="L21" s="123" t="n"/>
      <c r="M21" s="126">
        <f>IF(AND(ISNUMBER(K21),ISNUMBER(L21)),K21-L21,"")</f>
        <v/>
      </c>
      <c r="N21" s="124" t="inlineStr">
        <is>
          <t>Top band per the cycle-wise appraisal; mentoring by managers and the Lead is the driver. Lead-driven outcome; the PM runs the appraisal machinery and carries the number.</t>
        </is>
      </c>
    </row>
    <row r="22" ht="26" customHeight="1">
      <c r="A22" s="118" t="inlineStr">
        <is>
          <t>C — Asks: what this team needs from counterparties (thin interface contracts — reviewed monthly)</t>
        </is>
      </c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</row>
    <row r="23" ht="40" customHeight="1">
      <c r="A23" s="120" t="n">
        <v>1</v>
      </c>
      <c r="B23" s="120" t="inlineStr">
        <is>
          <t>C</t>
        </is>
      </c>
      <c r="C23" s="121" t="inlineStr">
        <is>
          <t>Program Ops</t>
        </is>
      </c>
      <c r="D23" s="120" t="n"/>
      <c r="E23" s="120" t="n"/>
      <c r="F23" s="122" t="inlineStr">
        <is>
          <t>Conduction adherence</t>
        </is>
      </c>
      <c r="G23" s="121" t="inlineStr">
        <is>
          <t>Zero schedule deviation on lectures / quizzes / assessments + attendance drive — feeds Program Delivery Gap &amp; Journey Step Health (§7 ask; exact thresholds pending).</t>
        </is>
      </c>
      <c r="H23" s="121" t="n"/>
      <c r="I23" s="120" t="n"/>
      <c r="J23" s="120" t="n"/>
      <c r="K23" s="120" t="n"/>
      <c r="L23" s="120" t="n"/>
      <c r="M23" s="120" t="n"/>
      <c r="N23" s="121" t="n"/>
    </row>
    <row r="24" ht="40" customHeight="1">
      <c r="A24" s="120" t="n">
        <v>2</v>
      </c>
      <c r="B24" s="120" t="inlineStr">
        <is>
          <t>C</t>
        </is>
      </c>
      <c r="C24" s="121" t="inlineStr">
        <is>
          <t>Instructors dept</t>
        </is>
      </c>
      <c r="D24" s="120" t="n"/>
      <c r="E24" s="120" t="n"/>
      <c r="F24" s="122" t="inlineStr">
        <is>
          <t>Learning-assets SLA</t>
        </is>
      </c>
      <c r="G24" s="121" t="inlineStr">
        <is>
          <t>PPT + recorded video ready &amp; loaded ≥1 month ahead of delivery — feeds the assets leg of Program Delivery Gap.</t>
        </is>
      </c>
      <c r="H24" s="121" t="n"/>
      <c r="I24" s="120" t="n"/>
      <c r="J24" s="120" t="n"/>
      <c r="K24" s="120" t="n"/>
      <c r="L24" s="120" t="n"/>
      <c r="M24" s="120" t="n"/>
      <c r="N24" s="121" t="n"/>
    </row>
    <row r="25" ht="40" customHeight="1">
      <c r="A25" s="120" t="n">
        <v>3</v>
      </c>
      <c r="B25" s="120" t="inlineStr">
        <is>
          <t>C</t>
        </is>
      </c>
      <c r="C25" s="121" t="inlineStr">
        <is>
          <t>Univ Relations</t>
        </is>
      </c>
      <c r="D25" s="120" t="n"/>
      <c r="E25" s="120" t="n"/>
      <c r="F25" s="122" t="inlineStr">
        <is>
          <t>University response windows</t>
        </is>
      </c>
      <c r="G25" s="121" t="inlineStr">
        <is>
          <t>BOS meeting windows + response SLAs on university communications — feeds BOS Credit Acceptance &amp; University Communication TAT.</t>
        </is>
      </c>
      <c r="H25" s="121" t="n"/>
      <c r="I25" s="120" t="n"/>
      <c r="J25" s="120" t="n"/>
      <c r="K25" s="120" t="n"/>
      <c r="L25" s="120" t="n"/>
      <c r="M25" s="120" t="n"/>
      <c r="N25" s="121" t="n"/>
    </row>
  </sheetData>
  <mergeCells count="8">
    <mergeCell ref="A22:N22"/>
    <mergeCell ref="A4:N4"/>
    <mergeCell ref="A2:N2"/>
    <mergeCell ref="G25:N25"/>
    <mergeCell ref="G24:N24"/>
    <mergeCell ref="A13:N13"/>
    <mergeCell ref="G23:N2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4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71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FY26-27'!E5="","",'KPI Tracker FY26-27'!E5)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58" customHeight="1">
      <c r="A7" s="130" t="inlineStr">
        <is>
          <t>T4</t>
        </is>
      </c>
      <c r="B7" s="130" t="inlineStr">
        <is>
          <t>A</t>
        </is>
      </c>
      <c r="C7" s="131">
        <f>IF('KPI Tracker FY26-27'!C6="","",'KPI Tracker FY26-27'!C6)</f>
        <v/>
      </c>
      <c r="D7" s="130">
        <f>IF('KPI Tracker FY26-27'!D6="","",'KPI Tracker FY26-27'!D6)</f>
        <v/>
      </c>
      <c r="E7" s="130">
        <f>IF('KPI Tracker FY26-27'!E6="","",'KPI Tracker FY26-27'!E6)</f>
        <v/>
      </c>
      <c r="F7" s="132">
        <f>IF('KPI Tracker FY26-27'!G6="","",'KPI Tracker FY26-27'!G6)</f>
        <v/>
      </c>
      <c r="G7" s="131">
        <f>IF('KPI Tracker FY26-27'!H6="","",'KPI Tracker FY26-27'!H6)</f>
        <v/>
      </c>
      <c r="H7" s="131" t="inlineStr">
        <is>
          <t>inherited — via Functions (col K)</t>
        </is>
      </c>
      <c r="I7" s="130">
        <f>IF('KPI Tracker FY26-27'!M6="","",'KPI Tracker FY26-27'!M6)</f>
        <v/>
      </c>
      <c r="J7" s="130">
        <f>IF('KPI Tracker FY26-27'!N6="","",'KPI Tracker FY26-27'!N6)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FY26-27'!R6="","",'KPI Tracker FY26-27'!R6)</f>
        <v/>
      </c>
    </row>
    <row r="8" ht="58" customHeight="1">
      <c r="A8" s="130" t="inlineStr">
        <is>
          <t>T5</t>
        </is>
      </c>
      <c r="B8" s="130" t="inlineStr">
        <is>
          <t>A</t>
        </is>
      </c>
      <c r="C8" s="131">
        <f>IF('KPI Tracker FY26-27'!C6="","",'KPI Tracker FY26-27'!C6)</f>
        <v/>
      </c>
      <c r="D8" s="130">
        <f>IF('KPI Tracker FY26-27'!D6="","",'KPI Tracker FY26-27'!D6)</f>
        <v/>
      </c>
      <c r="E8" s="130">
        <f>IF('KPI Tracker FY26-27'!E7="","",'KPI Tracker FY26-27'!E7)</f>
        <v/>
      </c>
      <c r="F8" s="132">
        <f>IF('KPI Tracker FY26-27'!G7="","",'KPI Tracker FY26-27'!G7)</f>
        <v/>
      </c>
      <c r="G8" s="131">
        <f>IF('KPI Tracker FY26-27'!H6="","",'KPI Tracker FY26-27'!H6)</f>
        <v/>
      </c>
      <c r="H8" s="131" t="inlineStr">
        <is>
          <t>inherited — via Functions (col K)</t>
        </is>
      </c>
      <c r="I8" s="130">
        <f>IF('KPI Tracker FY26-27'!M6="","",'KPI Tracker FY26-27'!M6)</f>
        <v/>
      </c>
      <c r="J8" s="130">
        <f>IF('KPI Tracker FY26-27'!N6="","",'KPI Tracker FY26-27'!N6)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FY26-27'!R6="","",'KPI Tracker FY26-27'!R6)</f>
        <v/>
      </c>
    </row>
    <row r="9" ht="58" customHeight="1">
      <c r="A9" s="130" t="inlineStr">
        <is>
          <t>T6</t>
        </is>
      </c>
      <c r="B9" s="130" t="inlineStr">
        <is>
          <t>A</t>
        </is>
      </c>
      <c r="C9" s="131">
        <f>IF('KPI Tracker FY26-27'!C8="","",'KPI Tracker FY26-27'!C8)</f>
        <v/>
      </c>
      <c r="D9" s="130">
        <f>IF('KPI Tracker FY26-27'!D8="","",'KPI Tracker FY26-27'!D8)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FY26-27'!H8="","",'KPI Tracker FY26-27'!H8)</f>
        <v/>
      </c>
      <c r="H9" s="131" t="inlineStr">
        <is>
          <t>inherited — via Functions (col K)</t>
        </is>
      </c>
      <c r="I9" s="130">
        <f>IF('KPI Tracker FY26-27'!M8="","",'KPI Tracker FY26-27'!M8)</f>
        <v/>
      </c>
      <c r="J9" s="130">
        <f>IF('KPI Tracker FY26-27'!N8="","",'KPI Tracker FY26-27'!N8)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FY26-27'!R8="","",'KPI Tracker FY26-27'!R8)</f>
        <v/>
      </c>
    </row>
    <row r="10" ht="58" customHeight="1">
      <c r="A10" s="130" t="inlineStr">
        <is>
          <t>T7</t>
        </is>
      </c>
      <c r="B10" s="130" t="inlineStr">
        <is>
          <t>A</t>
        </is>
      </c>
      <c r="C10" s="131">
        <f>IF('KPI Tracker FY26-27'!C8="","",'KPI Tracker FY26-27'!C8)</f>
        <v/>
      </c>
      <c r="D10" s="130">
        <f>IF('KPI Tracker FY26-27'!D8="","",'KPI Tracker FY26-27'!D8)</f>
        <v/>
      </c>
      <c r="E10" s="130">
        <f>IF('KPI Tracker FY26-27'!E9="","",'KPI Tracker FY26-27'!E9)</f>
        <v/>
      </c>
      <c r="F10" s="132">
        <f>IF('KPI Tracker FY26-27'!G9="","",'KPI Tracker FY26-27'!G9)</f>
        <v/>
      </c>
      <c r="G10" s="131">
        <f>IF('KPI Tracker FY26-27'!H8="","",'KPI Tracker FY26-27'!H8)</f>
        <v/>
      </c>
      <c r="H10" s="131" t="inlineStr">
        <is>
          <t>inherited — via Functions (col K)</t>
        </is>
      </c>
      <c r="I10" s="130">
        <f>IF('KPI Tracker FY26-27'!M8="","",'KPI Tracker FY26-27'!M8)</f>
        <v/>
      </c>
      <c r="J10" s="130">
        <f>IF('KPI Tracker FY26-27'!N8="","",'KPI Tracker FY26-27'!N8)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FY26-27'!R8="","",'KPI Tracker FY26-27'!R8)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FY26-27'!C10="","",'KPI Tracker FY26-27'!C10)</f>
        <v/>
      </c>
      <c r="D11" s="130">
        <f>IF('KPI Tracker FY26-27'!D10="","",'KPI Tracker FY26-27'!D10)</f>
        <v/>
      </c>
      <c r="E11" s="130">
        <f>IF('KPI Tracker FY26-27'!E10="","",'KPI Tracker FY26-27'!E10)</f>
        <v/>
      </c>
      <c r="F11" s="132">
        <f>IF('KPI Tracker FY26-27'!G10="","",'KPI Tracker FY26-27'!G10)</f>
        <v/>
      </c>
      <c r="G11" s="131">
        <f>IF('KPI Tracker FY26-27'!H10="","",'KPI Tracker FY26-27'!H10)</f>
        <v/>
      </c>
      <c r="H11" s="131" t="inlineStr">
        <is>
          <t>inherited — team-sheet twin</t>
        </is>
      </c>
      <c r="I11" s="130">
        <f>IF('KPI Tracker FY26-27'!M10="","",'KPI Tracker FY26-27'!M10)</f>
        <v/>
      </c>
      <c r="J11" s="130">
        <f>IF('KPI Tracker FY26-27'!N10="","",'KPI Tracker FY26-27'!N10)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FY26-27'!R10="","",'KPI Tracker FY26-27'!R10)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FY26-27'!C12="","",'KPI Tracker FY26-27'!C12)</f>
        <v/>
      </c>
      <c r="D12" s="130">
        <f>IF('KPI Tracker FY26-27'!D12="","",'KPI Tracker FY26-27'!D12)</f>
        <v/>
      </c>
      <c r="E12" s="130">
        <f>IF('KPI Tracker FY26-27'!E12="","",'KPI Tracker FY26-27'!E12)</f>
        <v/>
      </c>
      <c r="F12" s="132">
        <f>IF('KPI Tracker FY26-27'!G12="","",'KPI Tracker FY26-27'!G12)</f>
        <v/>
      </c>
      <c r="G12" s="131">
        <f>IF('KPI Tracker FY26-27'!H12="","",'KPI Tracker FY26-27'!H12)</f>
        <v/>
      </c>
      <c r="H12" s="131" t="inlineStr">
        <is>
          <t>inherited — via Functions (col K)</t>
        </is>
      </c>
      <c r="I12" s="130">
        <f>IF('KPI Tracker FY26-27'!M12="","",'KPI Tracker FY26-27'!M12)</f>
        <v/>
      </c>
      <c r="J12" s="130">
        <f>IF('KPI Tracker FY26-27'!N12="","",'KPI Tracker FY26-27'!N12)</f>
        <v/>
      </c>
      <c r="K12" s="130">
        <f>IF('KPI Tracker FY26-27'!O12="","",'KPI Tracker FY26-27'!O12)</f>
        <v/>
      </c>
      <c r="L12" s="130">
        <f>IF('KPI Tracker FY26-27'!P12="","",'KPI Tracker FY26-27'!P12)</f>
        <v/>
      </c>
      <c r="M12" s="130">
        <f>IF('KPI Tracker FY26-27'!Q12="","",'KPI Tracker FY26-27'!Q12)</f>
        <v/>
      </c>
      <c r="N12" s="131">
        <f>IF('KPI Tracker FY26-27'!R12="","",'KPI Tracker FY26-27'!R12)</f>
        <v/>
      </c>
    </row>
    <row r="13" ht="45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FY26-27'!C13="","",'KPI Tracker FY26-27'!C13)</f>
        <v/>
      </c>
      <c r="D13" s="130">
        <f>IF('KPI Tracker FY26-27'!D13="","",'KPI Tracker FY26-27'!D13)</f>
        <v/>
      </c>
      <c r="E13" s="130">
        <f>IF('KPI Tracker FY26-27'!E13="","",'KPI Tracker FY26-27'!E13)</f>
        <v/>
      </c>
      <c r="F13" s="132">
        <f>IF('KPI Tracker FY26-27'!G13="","",'KPI Tracker FY26-27'!G13)</f>
        <v/>
      </c>
      <c r="G13" s="131">
        <f>IF('KPI Tracker FY26-27'!H13="","",'KPI Tracker FY26-27'!H13)</f>
        <v/>
      </c>
      <c r="H13" s="131" t="inlineStr">
        <is>
          <t>inherited — via Functions (col K)</t>
        </is>
      </c>
      <c r="I13" s="130">
        <f>IF('KPI Tracker FY26-27'!M13="","",'KPI Tracker FY26-27'!M13)</f>
        <v/>
      </c>
      <c r="J13" s="130">
        <f>IF('KPI Tracker FY26-27'!N13="","",'KPI Tracker FY26-27'!N13)</f>
        <v/>
      </c>
      <c r="K13" s="130">
        <f>IF('KPI Tracker FY26-27'!O13="","",'KPI Tracker FY26-27'!O13)</f>
        <v/>
      </c>
      <c r="L13" s="130">
        <f>IF('KPI Tracker FY26-27'!P13="","",'KPI Tracker FY26-27'!P13)</f>
        <v/>
      </c>
      <c r="M13" s="130">
        <f>IF('KPI Tracker FY26-27'!Q13="","",'KPI Tracker FY26-27'!Q13)</f>
        <v/>
      </c>
      <c r="N13" s="131">
        <f>IF('KPI Tracker FY26-27'!R13="","",'KPI Tracker FY26-27'!R13)</f>
        <v/>
      </c>
    </row>
    <row r="14" ht="84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FY26-27'!C14="","",'KPI Tracker FY26-27'!C14)</f>
        <v/>
      </c>
      <c r="D14" s="130">
        <f>IF('KPI Tracker FY26-27'!D14="","",'KPI Tracker FY26-27'!D14)</f>
        <v/>
      </c>
      <c r="E14" s="130">
        <f>IF('KPI Tracker FY26-27'!E14="","",'KPI Tracker FY26-27'!E14)</f>
        <v/>
      </c>
      <c r="F14" s="132">
        <f>IF('KPI Tracker FY26-27'!G14="","",'KPI Tracker FY26-27'!G14)</f>
        <v/>
      </c>
      <c r="G14" s="131">
        <f>IF('KPI Tracker FY26-27'!H14="","",'KPI Tracker FY26-27'!H14)</f>
        <v/>
      </c>
      <c r="H14" s="131" t="inlineStr">
        <is>
          <t>inherited — team-sheet twin</t>
        </is>
      </c>
      <c r="I14" s="130">
        <f>IF('KPI Tracker FY26-27'!M14="","",'KPI Tracker FY26-27'!M14)</f>
        <v/>
      </c>
      <c r="J14" s="130">
        <f>IF('KPI Tracker FY26-27'!N14="","",'KPI Tracker FY26-27'!N14)</f>
        <v/>
      </c>
      <c r="K14" s="130">
        <f>IF('KPI Tracker FY26-27'!O14="","",'KPI Tracker FY26-27'!O14)</f>
        <v/>
      </c>
      <c r="L14" s="130">
        <f>IF('KPI Tracker FY26-27'!P14="","",'KPI Tracker FY26-27'!P14)</f>
        <v/>
      </c>
      <c r="M14" s="130">
        <f>IF('KPI Tracker FY26-27'!Q14="","",'KPI Tracker FY26-27'!Q14)</f>
        <v/>
      </c>
      <c r="N14" s="131">
        <f>IF('KPI Tracker FY26-27'!R14="","",'KPI Tracker FY26-27'!R14)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FY26-27'!C15="","",'KPI Tracker FY26-27'!C15)</f>
        <v/>
      </c>
      <c r="D15" s="130">
        <f>IF('KPI Tracker FY26-27'!D15="","",'KPI Tracker FY26-27'!D15)</f>
        <v/>
      </c>
      <c r="E15" s="130">
        <f>IF('KPI Tracker FY26-27'!E15="","",'KPI Tracker FY26-27'!E15)</f>
        <v/>
      </c>
      <c r="F15" s="132">
        <f>IF('KPI Tracker FY26-27'!G15="","",'KPI Tracker FY26-27'!G15)</f>
        <v/>
      </c>
      <c r="G15" s="131">
        <f>IF('KPI Tracker FY26-27'!H15="","",'KPI Tracker FY26-27'!H15)</f>
        <v/>
      </c>
      <c r="H15" s="131" t="inlineStr">
        <is>
          <t>inherited — team-sheet twin</t>
        </is>
      </c>
      <c r="I15" s="130">
        <f>IF('KPI Tracker FY26-27'!M15="","",'KPI Tracker FY26-27'!M15)</f>
        <v/>
      </c>
      <c r="J15" s="130">
        <f>IF('KPI Tracker FY26-27'!N15="","",'KPI Tracker FY26-27'!N15)</f>
        <v/>
      </c>
      <c r="K15" s="130">
        <f>IF('KPI Tracker FY26-27'!O15="","",'KPI Tracker FY26-27'!O15)</f>
        <v/>
      </c>
      <c r="L15" s="130">
        <f>IF('KPI Tracker FY26-27'!P15="","",'KPI Tracker FY26-27'!P15)</f>
        <v/>
      </c>
      <c r="M15" s="130">
        <f>IF('KPI Tracker FY26-27'!Q15="","",'KPI Tracker FY26-27'!Q15)</f>
        <v/>
      </c>
      <c r="N15" s="131">
        <f>IF('KPI Tracker FY26-27'!R15="","",'KPI Tracker FY26-27'!R15)</f>
        <v/>
      </c>
    </row>
    <row r="16" ht="32" customHeight="1">
      <c r="A16" s="130" t="inlineStr">
        <is>
          <t>T20</t>
        </is>
      </c>
      <c r="B16" s="130" t="inlineStr">
        <is>
          <t>A</t>
        </is>
      </c>
      <c r="C16" s="131">
        <f>IF('KPI Tracker FY26-27'!C23="","",'KPI Tracker FY26-27'!C23)</f>
        <v/>
      </c>
      <c r="D16" s="130">
        <f>IF('KPI Tracker FY26-27'!D23="","",'KPI Tracker FY26-27'!D23)</f>
        <v/>
      </c>
      <c r="E16" s="130">
        <f>IF('KPI Tracker FY26-27'!E23="","",'KPI Tracker FY26-27'!E23)</f>
        <v/>
      </c>
      <c r="F16" s="132">
        <f>IF('KPI Tracker FY26-27'!G23="","",'KPI Tracker FY26-27'!G23)</f>
        <v/>
      </c>
      <c r="G16" s="131">
        <f>IF('KPI Tracker FY26-27'!H23="","",'KPI Tracker FY26-27'!H23)</f>
        <v/>
      </c>
      <c r="H16" s="131" t="inlineStr">
        <is>
          <t>inherited — via Functions (col K)</t>
        </is>
      </c>
      <c r="I16" s="130">
        <f>IF('KPI Tracker FY26-27'!M23="","",'KPI Tracker FY26-27'!M23)</f>
        <v/>
      </c>
      <c r="J16" s="130">
        <f>IF('KPI Tracker FY26-27'!N23="","",'KPI Tracker FY26-27'!N23)</f>
        <v/>
      </c>
      <c r="K16" s="130">
        <f>IF('KPI Tracker FY26-27'!O23="","",'KPI Tracker FY26-27'!O23)</f>
        <v/>
      </c>
      <c r="L16" s="130">
        <f>IF('KPI Tracker FY26-27'!P23="","",'KPI Tracker FY26-27'!P23)</f>
        <v/>
      </c>
      <c r="M16" s="130">
        <f>IF('KPI Tracker FY26-27'!Q23="","",'KPI Tracker FY26-27'!Q23)</f>
        <v/>
      </c>
      <c r="N16" s="131">
        <f>IF('KPI Tracker FY26-27'!R23="","",'KPI Tracker FY26-27'!R23)</f>
        <v/>
      </c>
    </row>
    <row r="17" ht="32" customHeight="1">
      <c r="A17" s="130" t="inlineStr">
        <is>
          <t>T21</t>
        </is>
      </c>
      <c r="B17" s="130" t="inlineStr">
        <is>
          <t>A</t>
        </is>
      </c>
      <c r="C17" s="131">
        <f>IF('KPI Tracker FY26-27'!C23="","",'KPI Tracker FY26-27'!C23)</f>
        <v/>
      </c>
      <c r="D17" s="130">
        <f>IF('KPI Tracker FY26-27'!D23="","",'KPI Tracker FY26-27'!D23)</f>
        <v/>
      </c>
      <c r="E17" s="130">
        <f>IF('KPI Tracker FY26-27'!E24="","",'KPI Tracker FY26-27'!E24)</f>
        <v/>
      </c>
      <c r="F17" s="132">
        <f>IF('KPI Tracker FY26-27'!G24="","",'KPI Tracker FY26-27'!G24)</f>
        <v/>
      </c>
      <c r="G17" s="131">
        <f>IF('KPI Tracker FY26-27'!H23="","",'KPI Tracker FY26-27'!H23)</f>
        <v/>
      </c>
      <c r="H17" s="131" t="inlineStr">
        <is>
          <t>inherited — via Functions (col K)</t>
        </is>
      </c>
      <c r="I17" s="130">
        <f>IF('KPI Tracker FY26-27'!M23="","",'KPI Tracker FY26-27'!M23)</f>
        <v/>
      </c>
      <c r="J17" s="130">
        <f>IF('KPI Tracker FY26-27'!N23="","",'KPI Tracker FY26-27'!N23)</f>
        <v/>
      </c>
      <c r="K17" s="130">
        <f>IF('KPI Tracker FY26-27'!O24="","",'KPI Tracker FY26-27'!O24)</f>
        <v/>
      </c>
      <c r="L17" s="130">
        <f>IF('KPI Tracker FY26-27'!P24="","",'KPI Tracker FY26-27'!P24)</f>
        <v/>
      </c>
      <c r="M17" s="130">
        <f>IF('KPI Tracker FY26-27'!Q24="","",'KPI Tracker FY26-27'!Q24)</f>
        <v/>
      </c>
      <c r="N17" s="131">
        <f>IF('KPI Tracker FY26-27'!R23="","",'KPI Tracker FY26-27'!R23)</f>
        <v/>
      </c>
    </row>
    <row r="18" ht="32" customHeight="1">
      <c r="A18" s="130" t="inlineStr">
        <is>
          <t>T23</t>
        </is>
      </c>
      <c r="B18" s="130" t="inlineStr">
        <is>
          <t>A</t>
        </is>
      </c>
      <c r="C18" s="131">
        <f>IF('KPI Tracker FY26-27'!C27="","",'KPI Tracker FY26-27'!C27)</f>
        <v/>
      </c>
      <c r="D18" s="130">
        <f>IF('KPI Tracker FY26-27'!D27="","",'KPI Tracker FY26-27'!D27)</f>
        <v/>
      </c>
      <c r="E18" s="130">
        <f>IF('KPI Tracker FY26-27'!E27="","",'KPI Tracker FY26-27'!E27)</f>
        <v/>
      </c>
      <c r="F18" s="132">
        <f>IF('KPI Tracker FY26-27'!G27="","",'KPI Tracker FY26-27'!G27)</f>
        <v/>
      </c>
      <c r="G18" s="131">
        <f>IF('KPI Tracker FY26-27'!H27="","",'KPI Tracker FY26-27'!H27)</f>
        <v/>
      </c>
      <c r="H18" s="131" t="inlineStr">
        <is>
          <t>inherited — via Functions (col K)</t>
        </is>
      </c>
      <c r="I18" s="130">
        <f>IF('KPI Tracker FY26-27'!M27="","",'KPI Tracker FY26-27'!M27)</f>
        <v/>
      </c>
      <c r="J18" s="130">
        <f>IF('KPI Tracker FY26-27'!N27="","",'KPI Tracker FY26-27'!N27)</f>
        <v/>
      </c>
      <c r="K18" s="130">
        <f>IF('KPI Tracker FY26-27'!O27="","",'KPI Tracker FY26-27'!O27)</f>
        <v/>
      </c>
      <c r="L18" s="130">
        <f>IF('KPI Tracker FY26-27'!P27="","",'KPI Tracker FY26-27'!P27)</f>
        <v/>
      </c>
      <c r="M18" s="130">
        <f>IF('KPI Tracker FY26-27'!Q27="","",'KPI Tracker FY26-27'!Q27)</f>
        <v/>
      </c>
      <c r="N18" s="131">
        <f>IF('KPI Tracker FY26-27'!R27="","",'KPI Tracker FY26-27'!R27)</f>
        <v/>
      </c>
    </row>
    <row r="19" ht="32" customHeight="1">
      <c r="A19" s="130" t="inlineStr">
        <is>
          <t>T24</t>
        </is>
      </c>
      <c r="B19" s="130" t="inlineStr">
        <is>
          <t>A</t>
        </is>
      </c>
      <c r="C19" s="131">
        <f>IF('KPI Tracker FY26-27'!C28="","",'KPI Tracker FY26-27'!C28)</f>
        <v/>
      </c>
      <c r="D19" s="130">
        <f>IF('KPI Tracker FY26-27'!D28="","",'KPI Tracker FY26-27'!D28)</f>
        <v/>
      </c>
      <c r="E19" s="130">
        <f>IF('KPI Tracker FY26-27'!E28="","",'KPI Tracker FY26-27'!E28)</f>
        <v/>
      </c>
      <c r="F19" s="132">
        <f>IF('KPI Tracker FY26-27'!G28="","",'KPI Tracker FY26-27'!G28)</f>
        <v/>
      </c>
      <c r="G19" s="131">
        <f>IF('KPI Tracker FY26-27'!H28="","",'KPI Tracker FY26-27'!H28)</f>
        <v/>
      </c>
      <c r="H19" s="131" t="inlineStr">
        <is>
          <t>inherited — via Functions (col K)</t>
        </is>
      </c>
      <c r="I19" s="130">
        <f>IF('KPI Tracker FY26-27'!M28="","",'KPI Tracker FY26-27'!M28)</f>
        <v/>
      </c>
      <c r="J19" s="130">
        <f>IF('KPI Tracker FY26-27'!N28="","",'KPI Tracker FY26-27'!N28)</f>
        <v/>
      </c>
      <c r="K19" s="130">
        <f>IF('KPI Tracker FY26-27'!O28="","",'KPI Tracker FY26-27'!O28)</f>
        <v/>
      </c>
      <c r="L19" s="130">
        <f>IF('KPI Tracker FY26-27'!P28="","",'KPI Tracker FY26-27'!P28)</f>
        <v/>
      </c>
      <c r="M19" s="130">
        <f>IF('KPI Tracker FY26-27'!Q28="","",'KPI Tracker FY26-27'!Q28)</f>
        <v/>
      </c>
      <c r="N19" s="131">
        <f>IF('KPI Tracker FY26-27'!R28="","",'KPI Tracker FY26-27'!R28)</f>
        <v/>
      </c>
    </row>
    <row r="20" ht="26" customHeight="1">
      <c r="A20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</row>
    <row r="21" ht="58" customHeight="1">
      <c r="A21" s="123" t="n">
        <v>1</v>
      </c>
      <c r="B21" s="123" t="inlineStr">
        <is>
          <t>B</t>
        </is>
      </c>
      <c r="C21" s="124" t="inlineStr">
        <is>
          <t>Business Impact</t>
        </is>
      </c>
      <c r="D21" s="123" t="inlineStr">
        <is>
          <t>All</t>
        </is>
      </c>
      <c r="E21" s="123" t="inlineStr">
        <is>
          <t>All</t>
        </is>
      </c>
      <c r="F21" s="125" t="inlineStr">
        <is>
          <t>Summative Skill Assessment Achievement Rate</t>
        </is>
      </c>
      <c r="G21" s="124" t="inlineStr">
        <is>
          <t>Students scoring above the defined passing threshold in summative skill assessments across owned domains. Passing threshold set by the team per domain context (default reference: 70%).</t>
        </is>
      </c>
      <c r="H21" s="124" t="inlineStr">
        <is>
          <t>direct → org KRA 1 — the summative achievement number itself (org scoreboard; the tracker reads the funnel into it via the three conversion rows — the Formative → Summative leg lands here)</t>
        </is>
      </c>
      <c r="I21" s="123" t="inlineStr">
        <is>
          <t>%</t>
        </is>
      </c>
      <c r="J21" s="123" t="inlineStr">
        <is>
          <t>Quarterly</t>
        </is>
      </c>
      <c r="K21" s="123" t="n"/>
      <c r="L21" s="123" t="n"/>
      <c r="M21" s="126">
        <f>IF(AND(ISNUMBER(K21),ISNUMBER(L21)),K21-L21,"")</f>
        <v/>
      </c>
      <c r="N21" s="124" t="inlineStr">
        <is>
          <t>Q1 ref: B 35 (quarterly) · default threshold 70%.</t>
        </is>
      </c>
    </row>
    <row r="22" ht="58" customHeight="1">
      <c r="A22" s="123" t="n">
        <v>2</v>
      </c>
      <c r="B22" s="123" t="inlineStr">
        <is>
          <t>B</t>
        </is>
      </c>
      <c r="C22" s="124" t="inlineStr">
        <is>
          <t>Business Impact</t>
        </is>
      </c>
      <c r="D22" s="123" t="inlineStr">
        <is>
          <t>All</t>
        </is>
      </c>
      <c r="E22" s="123" t="inlineStr">
        <is>
          <t>All</t>
        </is>
      </c>
      <c r="F22" s="125" t="inlineStr">
        <is>
          <t>Formative Skill Assessment Achievement Rate</t>
        </is>
      </c>
      <c r="G22" s="124" t="inlineStr">
        <is>
          <t>Students scoring above the defined passing threshold in formative skill assessments across owned domains. Passing threshold set by the team per domain context (default reference: 70%).</t>
        </is>
      </c>
      <c r="H22" s="124" t="inlineStr">
        <is>
          <t>enabling → Summative SA Achievement (row above) + tracker Module-Quiz → Formative Conversion — the early-warning formative read</t>
        </is>
      </c>
      <c r="I22" s="123" t="inlineStr">
        <is>
          <t>%</t>
        </is>
      </c>
      <c r="J22" s="123" t="inlineStr">
        <is>
          <t>Monthly</t>
        </is>
      </c>
      <c r="K22" s="123" t="n"/>
      <c r="L22" s="123" t="n"/>
      <c r="M22" s="126">
        <f>IF(AND(ISNUMBER(K22),ISNUMBER(L22)),K22-L22,"")</f>
        <v/>
      </c>
      <c r="N22" s="124" t="inlineStr">
        <is>
          <t>Q1 Jul: B 23 · A 33.4 — 75% cap used as the Skill Assessments cut-off.</t>
        </is>
      </c>
    </row>
    <row r="23" ht="58" customHeight="1">
      <c r="A23" s="123" t="n">
        <v>3</v>
      </c>
      <c r="B23" s="123" t="inlineStr">
        <is>
          <t>B</t>
        </is>
      </c>
      <c r="C23" s="124" t="inlineStr">
        <is>
          <t>Business Impact</t>
        </is>
      </c>
      <c r="D23" s="123" t="inlineStr">
        <is>
          <t>NIAT</t>
        </is>
      </c>
      <c r="E23" s="123" t="inlineStr">
        <is>
          <t>All</t>
        </is>
      </c>
      <c r="F23" s="125" t="inlineStr">
        <is>
          <t>Graded Assessment Achievement Rate</t>
        </is>
      </c>
      <c r="G23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3" s="124" t="inlineStr">
        <is>
          <t>enabling → dept Business Impact (§5) — university-conducted exams: NIAT SPI &amp; university trust</t>
        </is>
      </c>
      <c r="I23" s="123" t="inlineStr">
        <is>
          <t>%</t>
        </is>
      </c>
      <c r="J23" s="123" t="inlineStr">
        <is>
          <t>Monthly</t>
        </is>
      </c>
      <c r="K23" s="123" t="n"/>
      <c r="L23" s="123" t="n"/>
      <c r="M23" s="126">
        <f>IF(AND(ISNUMBER(K23),ISNUMBER(L23)),K23-L23,"")</f>
        <v/>
      </c>
      <c r="N23" s="124" t="inlineStr"/>
    </row>
    <row r="24" ht="45" customHeight="1">
      <c r="A24" s="123" t="n">
        <v>4</v>
      </c>
      <c r="B24" s="123" t="inlineStr">
        <is>
          <t>B</t>
        </is>
      </c>
      <c r="C24" s="124" t="inlineStr">
        <is>
          <t>Business Impact</t>
        </is>
      </c>
      <c r="D24" s="123" t="inlineStr">
        <is>
          <t>Launchpad</t>
        </is>
      </c>
      <c r="E24" s="123" t="inlineStr">
        <is>
          <t>All</t>
        </is>
      </c>
      <c r="F24" s="125" t="inlineStr">
        <is>
          <t>Weekly Active Users</t>
        </is>
      </c>
      <c r="G24" s="124" t="inlineStr">
        <is>
          <t>Total prospective learner leads generated in the period through content-driven channels (organic, referral, campaigns, partnerships).</t>
        </is>
      </c>
      <c r="H24" s="124" t="inlineStr">
        <is>
          <t>enabling → dept Business Impact (§5) — Launchpad top-of-funnel</t>
        </is>
      </c>
      <c r="I24" s="123" t="inlineStr">
        <is>
          <t>Count</t>
        </is>
      </c>
      <c r="J24" s="123" t="inlineStr">
        <is>
          <t>Monthly (wkly avg)</t>
        </is>
      </c>
      <c r="K24" s="123" t="n"/>
      <c r="L24" s="123" t="n"/>
      <c r="M24" s="126">
        <f>IF(AND(ISNUMBER(K24),ISNUMBER(L24)),K24-L24,"")</f>
        <v/>
      </c>
      <c r="N24" s="124" t="inlineStr"/>
    </row>
    <row r="25" ht="58" customHeight="1">
      <c r="A25" s="123" t="n">
        <v>5</v>
      </c>
      <c r="B25" s="123" t="inlineStr">
        <is>
          <t>B</t>
        </is>
      </c>
      <c r="C25" s="124" t="inlineStr">
        <is>
          <t>Content Effectiveness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Pedagogy Initiative Impact</t>
        </is>
      </c>
      <c r="G25" s="124" t="inlineStr">
        <is>
          <t>Implemented pedagogy initiatives with measurable learning-outcome improvement. Outcome baseline must be defined and agreed before the initiative is launched.</t>
        </is>
      </c>
      <c r="H25" s="124" t="inlineStr">
        <is>
          <t>enabling → module-quiz Bands + org KRA 2 Academics CSAT — pedagogy initiatives move the learning numbers</t>
        </is>
      </c>
      <c r="I25" s="123" t="inlineStr">
        <is>
          <t>Count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26" ht="45" customHeight="1">
      <c r="A26" s="123" t="n">
        <v>6</v>
      </c>
      <c r="B26" s="123" t="inlineStr">
        <is>
          <t>B</t>
        </is>
      </c>
      <c r="C26" s="124" t="inlineStr">
        <is>
          <t>Content Effectiveness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Learner Accessed Content Completion Rate</t>
        </is>
      </c>
      <c r="G26" s="124" t="inlineStr">
        <is>
          <t>Video units: for each learner, % of video units they opened that they also completed; averaged across learners. Excludes units with zero opens.</t>
        </is>
      </c>
      <c r="H26" s="124" t="inlineStr">
        <is>
          <t>enabling → tracker Engagement-Matrix Cell Migration — video-stickiness leg of the value axis; access-conditioned, so conduction effects are stripped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/>
    </row>
    <row r="27" ht="58" customHeight="1">
      <c r="A27" s="123" t="n">
        <v>7</v>
      </c>
      <c r="B27" s="123" t="inlineStr">
        <is>
          <t>B</t>
        </is>
      </c>
      <c r="C27" s="124" t="inlineStr">
        <is>
          <t>Content Effectiveness</t>
        </is>
      </c>
      <c r="D27" s="123" t="inlineStr">
        <is>
          <t>All</t>
        </is>
      </c>
      <c r="E27" s="123" t="inlineStr">
        <is>
          <t>All</t>
        </is>
      </c>
      <c r="F27" s="125" t="inlineStr">
        <is>
          <t>Practice Attempt-to-Completion Rate</t>
        </is>
      </c>
      <c r="G27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27" s="124" t="inlineStr">
        <is>
          <t>enabling → tracker Journey Step Health steps 6–7 (practice return &amp; completion) + Learning Environment Satisfaction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>
        <is>
          <t>Q1 Jul: B 38.</t>
        </is>
      </c>
    </row>
    <row r="28" ht="45" customHeight="1">
      <c r="A28" s="123" t="n">
        <v>8</v>
      </c>
      <c r="B28" s="123" t="inlineStr">
        <is>
          <t>B</t>
        </is>
      </c>
      <c r="C28" s="124" t="inlineStr">
        <is>
          <t>Content Velocity</t>
        </is>
      </c>
      <c r="D28" s="123" t="inlineStr">
        <is>
          <t>All</t>
        </is>
      </c>
      <c r="E28" s="123" t="inlineStr">
        <is>
          <t>All</t>
        </is>
      </c>
      <c r="F28" s="125" t="inlineStr">
        <is>
          <t>Learning Content Hours Delivered</t>
        </is>
      </c>
      <c r="G28" s="124" t="inlineStr">
        <is>
          <t>Total learning content hours created per month across all formats (video, text, interactive). Content serving multiple products counted once.</t>
        </is>
      </c>
      <c r="H28" s="124" t="inlineStr">
        <is>
          <t>enabling → dept Content Velocity (§5) — capacity for B4 &amp; new stacks</t>
        </is>
      </c>
      <c r="I28" s="123" t="inlineStr">
        <is>
          <t>Hours</t>
        </is>
      </c>
      <c r="J28" s="123" t="inlineStr">
        <is>
          <t>Monthly</t>
        </is>
      </c>
      <c r="K28" s="123" t="n"/>
      <c r="L28" s="123" t="n"/>
      <c r="M28" s="126">
        <f>IF(AND(ISNUMBER(K28),ISNUMBER(L28)),K28-L28,"")</f>
        <v/>
      </c>
      <c r="N28" s="124" t="inlineStr">
        <is>
          <t>Q1 Jul: B 50 · A 46.</t>
        </is>
      </c>
    </row>
    <row r="29" ht="58" customHeight="1">
      <c r="A29" s="123" t="n">
        <v>9</v>
      </c>
      <c r="B29" s="123" t="inlineStr">
        <is>
          <t>B</t>
        </is>
      </c>
      <c r="C29" s="124" t="inlineStr">
        <is>
          <t>Content Velocity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Vernacular Content Hours Delivered</t>
        </is>
      </c>
      <c r="G29" s="124" t="inlineStr">
        <is>
          <t>Total vernacular-language learning content hours created per month. Tracked separately from English hours — effort per vernacular hour differs significantly.</t>
        </is>
      </c>
      <c r="H29" s="124" t="inlineStr">
        <is>
          <t>enabling → dept Content Velocity (§5) — vernacular capacity</t>
        </is>
      </c>
      <c r="I29" s="123" t="inlineStr">
        <is>
          <t>Hours</t>
        </is>
      </c>
      <c r="J29" s="123" t="inlineStr">
        <is>
          <t>Monthly</t>
        </is>
      </c>
      <c r="K29" s="123" t="n"/>
      <c r="L29" s="123" t="n"/>
      <c r="M29" s="126">
        <f>IF(AND(ISNUMBER(K29),ISNUMBER(L29)),K29-L29,"")</f>
        <v/>
      </c>
      <c r="N29" s="124" t="inlineStr">
        <is>
          <t>Q1 Jul: B 0 — no vernacular slate yet.</t>
        </is>
      </c>
    </row>
    <row r="30" ht="45" customHeight="1">
      <c r="A30" s="123" t="n">
        <v>10</v>
      </c>
      <c r="B30" s="123" t="inlineStr">
        <is>
          <t>B</t>
        </is>
      </c>
      <c r="C30" s="124" t="inlineStr">
        <is>
          <t>Content Velocity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Practice &amp; Assessment Content Pieces Delivered</t>
        </is>
      </c>
      <c r="G30" s="124" t="inlineStr">
        <is>
          <t>Total practice and assessment pieces delivered monthly across owned domains (MCQs, coding questions, projects, case studies).</t>
        </is>
      </c>
      <c r="H30" s="124" t="inlineStr">
        <is>
          <t>enabling → dept Content Velocity (§5) — practice depth behind Journey Step Health steps 5–7</t>
        </is>
      </c>
      <c r="I30" s="123" t="inlineStr">
        <is>
          <t>Count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>
        <is>
          <t>Q1 Jul: B 1,600 · A 1,499 (Aug B: 1,000).</t>
        </is>
      </c>
    </row>
    <row r="31" ht="32" customHeight="1">
      <c r="A31" s="123" t="n">
        <v>11</v>
      </c>
      <c r="B31" s="123" t="inlineStr">
        <is>
          <t>B</t>
        </is>
      </c>
      <c r="C31" s="124" t="inlineStr">
        <is>
          <t>Content Velocity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Branding Content Assets Delivered</t>
        </is>
      </c>
      <c r="G31" s="124" t="inlineStr">
        <is>
          <t>Total branded content pieces produced monthly (thumbnails, banners, promo assets).</t>
        </is>
      </c>
      <c r="H31" s="124" t="inlineStr">
        <is>
          <t>enabling → dept Content Velocity (§5)</t>
        </is>
      </c>
      <c r="I31" s="123" t="inlineStr">
        <is>
          <t>Count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0.</t>
        </is>
      </c>
    </row>
    <row r="32" ht="58" customHeight="1">
      <c r="A32" s="123" t="n">
        <v>12</v>
      </c>
      <c r="B32" s="123" t="inlineStr">
        <is>
          <t>B</t>
        </is>
      </c>
      <c r="C32" s="124" t="inlineStr">
        <is>
          <t>Content Efficiency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Cost per Learning Hour Produced</t>
        </is>
      </c>
      <c r="G32" s="124" t="inlineStr">
        <is>
          <t>Average cost to produce one hour of learning content. Includes people, tools and infra involved in creation. Tracks creation efficiency — not delivery cost.</t>
        </is>
      </c>
      <c r="H32" s="124" t="inlineStr">
        <is>
          <t>enabling → dept Cost per Learning Hour (§5 Content Efficiency)</t>
        </is>
      </c>
      <c r="I32" s="123" t="inlineStr">
        <is>
          <t>INR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₹10,000 · A ₹6,803 — 46 h across 4 products.</t>
        </is>
      </c>
    </row>
    <row r="33" ht="58" customHeight="1">
      <c r="A33" s="123" t="n">
        <v>13</v>
      </c>
      <c r="B33" s="123" t="inlineStr">
        <is>
          <t>B</t>
        </is>
      </c>
      <c r="C33" s="124" t="inlineStr">
        <is>
          <t>Content Efficiency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Cost per Vernacular Content Hour</t>
        </is>
      </c>
      <c r="G33" s="124" t="inlineStr">
        <is>
          <t>Average cost to produce one hour of vernacular-language content. Includes team bandwidth involved in creation (contract basis, tools &amp; infrastructure).</t>
        </is>
      </c>
      <c r="H33" s="124" t="inlineStr">
        <is>
          <t>enabling → dept Cost per Vernacular Content Hour (§5) — production-side twin of CSI's central track</t>
        </is>
      </c>
      <c r="I33" s="123" t="inlineStr">
        <is>
          <t>INR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· A 0.</t>
        </is>
      </c>
    </row>
    <row r="34" ht="45" customHeight="1">
      <c r="A34" s="123" t="n">
        <v>14</v>
      </c>
      <c r="B34" s="123" t="inlineStr">
        <is>
          <t>B</t>
        </is>
      </c>
      <c r="C34" s="124" t="inlineStr">
        <is>
          <t>Content Efficiency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Cost per Objective Practice Item</t>
        </is>
      </c>
      <c r="G34" s="124" t="inlineStr">
        <is>
          <t>Average cost to develop one objective practice item (FIB, MCQ, MMCQ — any objective type), including both manual and AI-assisted production.</t>
        </is>
      </c>
      <c r="H34" s="124" t="inlineStr">
        <is>
          <t>enabling → dept Cost per Objective Practice Item (§5 Content Efficiency)</t>
        </is>
      </c>
      <c r="I34" s="123" t="inlineStr">
        <is>
          <t>INR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B ₹3 (rebased Aug 2026 — adjustable) · Q1 Jul on the old MCQ basis: B ₹40 · A ₹26 — 1,347 MCQs across 2 products.</t>
        </is>
      </c>
    </row>
    <row r="35" ht="45" customHeight="1">
      <c r="A35" s="123" t="n">
        <v>15</v>
      </c>
      <c r="B35" s="123" t="inlineStr">
        <is>
          <t>B</t>
        </is>
      </c>
      <c r="C35" s="124" t="inlineStr">
        <is>
          <t>Content Efficiency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Cost per Coding Question</t>
        </is>
      </c>
      <c r="G35" s="124" t="inlineStr">
        <is>
          <t>Average cost to develop one coding question, including test-case design and evaluation-engine configuration. Varies by domain complexity.</t>
        </is>
      </c>
      <c r="H35" s="124" t="inlineStr">
        <is>
          <t>enabling → dept Cost per Coding Question (§5 Content Efficiency)</t>
        </is>
      </c>
      <c r="I35" s="123" t="inlineStr">
        <is>
          <t>INR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B ₹100 baseline · ~₹200 FullStack/GenAI (project-style) · up to ₹300 DS&amp;Algo (editorials + brute-force + efficient) — rebased Aug 2026, adjustable · Q1 Jul: B ₹400 · A ₹163 — 131 coding questions across 3 products.</t>
        </is>
      </c>
    </row>
    <row r="36" ht="32" customHeight="1">
      <c r="A36" s="123" t="n">
        <v>16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Branding Content Asset</t>
        </is>
      </c>
      <c r="G36" s="124" t="inlineStr">
        <is>
          <t>Average cost to create one branded content piece.</t>
        </is>
      </c>
      <c r="H36" s="124" t="inlineStr">
        <is>
          <t>enabling → dept Cost per Branding Asset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0 · A 0.</t>
        </is>
      </c>
    </row>
    <row r="37" ht="58" customHeight="1">
      <c r="A37" s="123" t="n">
        <v>17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Platform Runtime Cost per Active Learner</t>
        </is>
      </c>
      <c r="G37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37" s="124" t="inlineStr">
        <is>
          <t>enabling → dept Platform Runtime Cost per Active Learner (§5) — the team's share of delivery cost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/>
    </row>
    <row r="38" ht="92" customHeight="1">
      <c r="A38" s="123" t="n">
        <v>18</v>
      </c>
      <c r="B38" s="123" t="inlineStr">
        <is>
          <t>B</t>
        </is>
      </c>
      <c r="C38" s="124" t="inlineStr">
        <is>
          <t>Content Relevance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Tech Stack Freshness Rate</t>
        </is>
      </c>
      <c r="G38" s="124" t="inlineStr">
        <is>
          <t>% of the team's assigned topics refreshed inside their 6-month cycle. A topic = PPT + recorded video session + practice content + quiz content (plus question pools, adaptivity and the domain learning environment wherever the topic carries them); the Domain Catalogue's hours ≈ the topic count, so the catalogue is the surface of record. A refresh reworks the topic against the feedback that landed on it — reactive and proactive channels both — and is capacity-planned as a from-scratch rebuild, not a patch. Version currency (tools, frameworks, libraries and the IDE / playground / cloud setups on current stable or LTS) is audited inside every refresh.</t>
        </is>
      </c>
      <c r="H38" s="124" t="inlineStr">
        <is>
          <t>enabling → tracker Industry Update Adherence — the topic-refresh audit behind relevance</t>
        </is>
      </c>
      <c r="I38" s="123" t="inlineStr">
        <is>
          <t>%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100 · A 100. Workload standard behind the number: one AI Engineer's surface ≈ 100 topics at FullStack / GenAI complexity per 6-month cycle · Senior AI Engineer ≈ 2× that, complexity-weighted. Domain complexity scales the target: a lighter-refresh surface (English, Aptitude, programming fundamentals, CS Core, Mathematics, DS &amp; Algo) carries roughly double the topic count of a FullStack / GenAI surface, and those roles are weighed more aggressively on Learning Systems Design and Production Systems — the refresh itself costs less there, so the invention and the agent build are where the load sits. Every topic is assumed rebuilt from scratch when refreshed: that is the capacity assumption, not a claim that everything changed.</t>
        </is>
      </c>
    </row>
    <row r="39" ht="45" customHeight="1">
      <c r="A39" s="123" t="n">
        <v>19</v>
      </c>
      <c r="B39" s="123" t="inlineStr">
        <is>
          <t>B</t>
        </is>
      </c>
      <c r="C39" s="124" t="inlineStr">
        <is>
          <t>Stakeholder Alignment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Stakeholder Content Request Fulfillment Rate</t>
        </is>
      </c>
      <c r="G39" s="124" t="inlineStr">
        <is>
          <t>Requests from Sales, Placements, Program Ops, Assessments and Instructors fulfilled within agreed timeframes across all products.</t>
        </is>
      </c>
      <c r="H39" s="124" t="inlineStr">
        <is>
          <t>enabling → dept Stakeholder Alignment (§5)</t>
        </is>
      </c>
      <c r="I39" s="123" t="inlineStr">
        <is>
          <t>%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90 · A 90.</t>
        </is>
      </c>
    </row>
    <row r="40" ht="58" customHeight="1">
      <c r="A40" s="123" t="n">
        <v>20</v>
      </c>
      <c r="B40" s="123" t="inlineStr">
        <is>
          <t>B</t>
        </is>
      </c>
      <c r="C40" s="124" t="inlineStr">
        <is>
          <t>Stakeholder Alignment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Cross-functional Sprint Delivery Rate</t>
        </is>
      </c>
      <c r="G40" s="124" t="inlineStr">
        <is>
          <t>% of committed tickets across Product, Pedagogy, Engineering, UI/UX and DA/DE — scoped and approved by this team — delivered within the committed sprint.</t>
        </is>
      </c>
      <c r="H40" s="124" t="inlineStr">
        <is>
          <t>enabling → dept Stakeholder Alignment (§5)</t>
        </is>
      </c>
      <c r="I40" s="123" t="inlineStr">
        <is>
          <t>%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100 · A 100.</t>
        </is>
      </c>
    </row>
    <row r="41" ht="84" customHeight="1">
      <c r="A41" s="123" t="n">
        <v>21</v>
      </c>
      <c r="B41" s="123" t="inlineStr">
        <is>
          <t>B</t>
        </is>
      </c>
      <c r="C41" s="124" t="inlineStr">
        <is>
          <t>Domain Product Enablement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Evaluation Environment Coverage</t>
        </is>
      </c>
      <c r="G41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1" s="124" t="inlineStr">
        <is>
          <t>enabling → Practice Attempt-to-Completion (environment-friction leg) + tracker Journey Step Health steps 6–7 + Learning Environment Satisfaction</t>
        </is>
      </c>
      <c r="I41" s="123" t="inlineStr">
        <is>
          <t>%</t>
        </is>
      </c>
      <c r="J41" s="123" t="inlineStr">
        <is>
          <t>Quarterly</t>
        </is>
      </c>
      <c r="K41" s="123" t="n"/>
      <c r="L41" s="123" t="n"/>
      <c r="M41" s="126">
        <f>IF(AND(ISNUMBER(K41),ISNUMBER(L41)),K41-L41,"")</f>
        <v/>
      </c>
      <c r="N41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2" ht="71" customHeight="1">
      <c r="A42" s="123" t="n">
        <v>22</v>
      </c>
      <c r="B42" s="123" t="inlineStr">
        <is>
          <t>B</t>
        </is>
      </c>
      <c r="C42" s="124" t="inlineStr">
        <is>
          <t>Domain Product Enablement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Domain Capability Delivery</t>
        </is>
      </c>
      <c r="G42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2" s="124" t="inlineStr">
        <is>
          <t>enabling → dept Platform Capability Configuration Coverage (§5) + the LP capability registry</t>
        </is>
      </c>
      <c r="I42" s="123" t="inlineStr">
        <is>
          <t>%</t>
        </is>
      </c>
      <c r="J42" s="123" t="inlineStr">
        <is>
          <t>Quarterly</t>
        </is>
      </c>
      <c r="K42" s="123" t="n"/>
      <c r="L42" s="123" t="n"/>
      <c r="M42" s="126">
        <f>IF(AND(ISNUMBER(K42),ISNUMBER(L42)),K42-L42,"")</f>
        <v/>
      </c>
      <c r="N42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3" ht="92" customHeight="1">
      <c r="A43" s="123" t="n">
        <v>23</v>
      </c>
      <c r="B43" s="123" t="inlineStr">
        <is>
          <t>B</t>
        </is>
      </c>
      <c r="C43" s="124" t="inlineStr">
        <is>
          <t>Team Ops &amp; People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Cost of Operations</t>
        </is>
      </c>
      <c r="G43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43" s="124" t="inlineStr">
        <is>
          <t>hygiene — team run-cost guardrail; no org ladder by design</t>
        </is>
      </c>
      <c r="I43" s="123" t="inlineStr">
        <is>
          <t>INR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— Jul A ₹300,863 spans ops + hiring; worklog capture splits it from next month. Sub-metrics per activity (one-on-one coverage, status freshness…) get added as reads emerge. Run by the team's PM (reports to the Lead; KPI cascades Lead → PM).</t>
        </is>
      </c>
    </row>
    <row r="44" ht="58" customHeight="1">
      <c r="A44" s="123" t="n">
        <v>24</v>
      </c>
      <c r="B44" s="123" t="inlineStr">
        <is>
          <t>B</t>
        </is>
      </c>
      <c r="C44" s="124" t="inlineStr">
        <is>
          <t>Team Ops &amp; People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Roadmap Items Completion</t>
        </is>
      </c>
      <c r="G44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44" s="124" t="inlineStr">
        <is>
          <t>hygiene — execution-predictability guardrail; no org ladder by design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Cycle-anchored: the commitment is the Head-approved cycle roadmap; the % is read monthly as items land. Run by the team's PM.</t>
        </is>
      </c>
    </row>
    <row r="45" ht="45" customHeight="1">
      <c r="A45" s="123" t="n">
        <v>25</v>
      </c>
      <c r="B45" s="123" t="inlineStr">
        <is>
          <t>B</t>
        </is>
      </c>
      <c r="C45" s="124" t="inlineStr">
        <is>
          <t>Team Ops &amp; People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Hires Made</t>
        </is>
      </c>
      <c r="G45" s="124" t="inlineStr">
        <is>
          <t>Offers joined against the team's approved hiring plan for the period. Reads whether the team is growing at the planned pace.</t>
        </is>
      </c>
      <c r="H45" s="124" t="inlineStr">
        <is>
          <t>hygiene — hiring-plan guardrail; no org ladder by design</t>
        </is>
      </c>
      <c r="I45" s="123" t="inlineStr">
        <is>
          <t>Count</t>
        </is>
      </c>
      <c r="J45" s="123" t="inlineStr">
        <is>
          <t>Monthly</t>
        </is>
      </c>
      <c r="K45" s="123" t="n"/>
      <c r="L45" s="123" t="n"/>
      <c r="M45" s="126">
        <f>IF(AND(ISNUMBER(K45),ISNUMBER(L45)),K45-L45,"")</f>
        <v/>
      </c>
      <c r="N45" s="124" t="inlineStr">
        <is>
          <t>Budget = the approved hiring plan. Run by the team's PM; hiring decisions stay with the Lead.</t>
        </is>
      </c>
    </row>
    <row r="46" ht="45" customHeight="1">
      <c r="A46" s="123" t="n">
        <v>26</v>
      </c>
      <c r="B46" s="123" t="inlineStr">
        <is>
          <t>B</t>
        </is>
      </c>
      <c r="C46" s="124" t="inlineStr">
        <is>
          <t>Team Ops &amp; People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Cost per Hire</t>
        </is>
      </c>
      <c r="G46" s="124" t="inlineStr">
        <is>
          <t>Average cost per closed hire — sourcing, interview bandwidth and onboarding effort attributed to hiring for this team.</t>
        </is>
      </c>
      <c r="H46" s="124" t="inlineStr">
        <is>
          <t>hygiene — hiring-efficiency guardrail; no org ladder by design</t>
        </is>
      </c>
      <c r="I46" s="123" t="inlineStr">
        <is>
          <t>INR</t>
        </is>
      </c>
      <c r="J46" s="123" t="inlineStr">
        <is>
          <t>Monthly</t>
        </is>
      </c>
      <c r="K46" s="123" t="n"/>
      <c r="L46" s="123" t="n"/>
      <c r="M46" s="126">
        <f>IF(AND(ISNUMBER(K46),ISNUMBER(L46)),K46-L46,"")</f>
        <v/>
      </c>
      <c r="N46" s="124" t="inlineStr">
        <is>
          <t>Hiring cost split out of the old Operations &amp; Growth Cost row — worklogs attribute the interview bandwidth. Run by the team's PM.</t>
        </is>
      </c>
    </row>
    <row r="47" ht="71" customHeight="1">
      <c r="A47" s="123" t="n">
        <v>27</v>
      </c>
      <c r="B47" s="123" t="inlineStr">
        <is>
          <t>B</t>
        </is>
      </c>
      <c r="C47" s="124" t="inlineStr">
        <is>
          <t>Team Ops &amp; People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Team Retention Rate</t>
        </is>
      </c>
      <c r="G47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47" s="124" t="inlineStr">
        <is>
          <t>hygiene — team-health guardrail; no org ladder by design</t>
        </is>
      </c>
      <c r="I47" s="123" t="inlineStr">
        <is>
          <t>%</t>
        </is>
      </c>
      <c r="J47" s="123" t="inlineStr">
        <is>
          <t>Per appraisal cycle</t>
        </is>
      </c>
      <c r="K47" s="123" t="n"/>
      <c r="L47" s="123" t="n"/>
      <c r="M47" s="126">
        <f>IF(AND(ISNUMBER(K47),ISNUMBER(L47)),K47-L47,"")</f>
        <v/>
      </c>
      <c r="N47" s="124" t="inlineStr">
        <is>
          <t>Trailing 12 months smooths small-team noise (one exit is a big % swing). Lead-driven outcome; the PM carries the machinery and the number.</t>
        </is>
      </c>
    </row>
    <row r="48" ht="45" customHeight="1">
      <c r="A48" s="123" t="n">
        <v>28</v>
      </c>
      <c r="B48" s="123" t="inlineStr">
        <is>
          <t>B</t>
        </is>
      </c>
      <c r="C48" s="124" t="inlineStr">
        <is>
          <t>Team Ops &amp; People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Power Performers Created</t>
        </is>
      </c>
      <c r="G48" s="124" t="inlineStr">
        <is>
          <t>Team members newly reaching the top appraisal band in the cycle-wise appraisal. The direct metric for 'developing the best (mentoring subordinates)'.</t>
        </is>
      </c>
      <c r="H48" s="124" t="inlineStr">
        <is>
          <t>enabling → the §5 'developing the best (mentoring subordinates)' intent — its first direct metric</t>
        </is>
      </c>
      <c r="I48" s="123" t="inlineStr">
        <is>
          <t>Count</t>
        </is>
      </c>
      <c r="J48" s="123" t="inlineStr">
        <is>
          <t>Per appraisal cycle</t>
        </is>
      </c>
      <c r="K48" s="123" t="n"/>
      <c r="L48" s="123" t="n"/>
      <c r="M48" s="126">
        <f>IF(AND(ISNUMBER(K48),ISNUMBER(L48)),K48-L48,"")</f>
        <v/>
      </c>
      <c r="N48" s="124" t="inlineStr">
        <is>
          <t>Top band per the cycle-wise appraisal; mentoring by managers and the Lead is the driver. Lead-driven outcome; the PM runs the appraisal machinery and carries the number.</t>
        </is>
      </c>
    </row>
    <row r="49" ht="58" customHeight="1">
      <c r="A49" s="123" t="n">
        <v>29</v>
      </c>
      <c r="B49" s="123" t="inlineStr">
        <is>
          <t>B</t>
        </is>
      </c>
      <c r="C49" s="124" t="inlineStr">
        <is>
          <t>Team Ops &amp; People</t>
        </is>
      </c>
      <c r="D49" s="123" t="inlineStr">
        <is>
          <t>All</t>
        </is>
      </c>
      <c r="E49" s="123" t="inlineStr">
        <is>
          <t>All</t>
        </is>
      </c>
      <c r="F49" s="125" t="inlineStr">
        <is>
          <t>Creative Resource Utilisation Rate</t>
        </is>
      </c>
      <c r="G49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9" s="124" t="inlineStr">
        <is>
          <t>hygiene — creative bandwidth guardrail (PM-managed); no org ladder by design</t>
        </is>
      </c>
      <c r="I49" s="123" t="inlineStr">
        <is>
          <t>%</t>
        </is>
      </c>
      <c r="J49" s="123" t="inlineStr">
        <is>
          <t>Monthly</t>
        </is>
      </c>
      <c r="K49" s="123" t="n"/>
      <c r="L49" s="123" t="n"/>
      <c r="M49" s="126">
        <f>IF(AND(ISNUMBER(K49),ISNUMBER(L49)),K49-L49,"")</f>
        <v/>
      </c>
      <c r="N49" s="124" t="inlineStr">
        <is>
          <t>Q1 Jul: A 100% — fully utilised, at times stretched.</t>
        </is>
      </c>
    </row>
    <row r="50" ht="26" customHeight="1">
      <c r="A50" s="129" t="inlineStr">
        <is>
          <t>C — Asks: what this team needs from counterparties (thin interface contracts — reviewed monthly)</t>
        </is>
      </c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40" customHeight="1">
      <c r="A51" s="130" t="n">
        <v>1</v>
      </c>
      <c r="B51" s="130" t="inlineStr">
        <is>
          <t>C</t>
        </is>
      </c>
      <c r="C51" s="131" t="inlineStr">
        <is>
          <t>Assessments team</t>
        </is>
      </c>
      <c r="D51" s="130" t="n"/>
      <c r="E51" s="130" t="n"/>
      <c r="F51" s="132" t="inlineStr">
        <is>
          <t>Assessment blueprints per cycle</t>
        </is>
      </c>
      <c r="G51" s="131" t="inlineStr">
        <is>
          <t>Skill-assessment blueprints + knowledge points shared before authoring each cycle; changes communicated — feeds the Module-Quiz → Formative and Formative → Summative Conversions + the alignment diagnostic cut (§7 ask).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2</v>
      </c>
      <c r="B52" s="130" t="inlineStr">
        <is>
          <t>C</t>
        </is>
      </c>
      <c r="C52" s="131" t="inlineStr">
        <is>
          <t>Learning Platform / DA-DEs</t>
        </is>
      </c>
      <c r="D52" s="130" t="n"/>
      <c r="E52" s="130" t="n"/>
      <c r="F52" s="132" t="inlineStr">
        <is>
          <t>Engagement &amp; LE dashboards</t>
        </is>
      </c>
      <c r="G52" s="131" t="inlineStr">
        <is>
          <t>Monthly LE + engagement-matrix cuts per domain — budgets for Cell Migration and the three conversion rows come from here after the first measured cycle. Module-quiz band distribution + content–assessment alignment ride along as read-only diagnostic cuts, next to the course-completion cuts: completion is conduction-driven (Program Ops); the team's owned stickiness KPIs are Learner-Accessed Completion + Practice Attempt-to-Completion.</t>
        </is>
      </c>
      <c r="H52" s="131" t="n"/>
      <c r="I52" s="130" t="n"/>
      <c r="J52" s="130" t="n"/>
      <c r="K52" s="130" t="n"/>
      <c r="L52" s="130" t="n"/>
      <c r="M52" s="130" t="n"/>
      <c r="N52" s="131" t="n"/>
    </row>
    <row r="53" ht="40" customHeight="1">
      <c r="A53" s="130" t="n">
        <v>3</v>
      </c>
      <c r="B53" s="130" t="inlineStr">
        <is>
          <t>C</t>
        </is>
      </c>
      <c r="C53" s="131" t="inlineStr">
        <is>
          <t>Learning Platform (PMs + Engineering)</t>
        </is>
      </c>
      <c r="D53" s="130" t="n"/>
      <c r="E53" s="130" t="n"/>
      <c r="F53" s="132" t="inlineStr">
        <is>
          <t>Domain-specific capability build</t>
        </is>
      </c>
      <c r="G53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3" s="131" t="n"/>
      <c r="I53" s="130" t="n"/>
      <c r="J53" s="130" t="n"/>
      <c r="K53" s="130" t="n"/>
      <c r="L53" s="130" t="n"/>
      <c r="M53" s="130" t="n"/>
      <c r="N53" s="131" t="n"/>
    </row>
    <row r="54" ht="40" customHeight="1">
      <c r="A54" s="130" t="n">
        <v>4</v>
      </c>
      <c r="B54" s="130" t="inlineStr">
        <is>
          <t>C</t>
        </is>
      </c>
      <c r="C54" s="131" t="inlineStr">
        <is>
          <t>Instructors dept + Program Ops</t>
        </is>
      </c>
      <c r="D54" s="130" t="n"/>
      <c r="E54" s="130" t="n"/>
      <c r="F54" s="132" t="inlineStr">
        <is>
          <t>Classroom signal loop</t>
        </is>
      </c>
      <c r="G54" s="131" t="inlineStr">
        <is>
          <t>Structured instructor feedback + conduction context per module — feeds content iteration and Content Issue routing.</t>
        </is>
      </c>
      <c r="H54" s="131" t="n"/>
      <c r="I54" s="130" t="n"/>
      <c r="J54" s="130" t="n"/>
      <c r="K54" s="130" t="n"/>
      <c r="L54" s="130" t="n"/>
      <c r="M54" s="130" t="n"/>
      <c r="N54" s="131" t="n"/>
    </row>
  </sheetData>
  <mergeCells count="9">
    <mergeCell ref="G51:N51"/>
    <mergeCell ref="A50:N50"/>
    <mergeCell ref="A4:N4"/>
    <mergeCell ref="G52:N52"/>
    <mergeCell ref="A20:N20"/>
    <mergeCell ref="A2:N2"/>
    <mergeCell ref="G54:N54"/>
    <mergeCell ref="G53:N5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7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T11</t>
        </is>
      </c>
      <c r="B5" s="140" t="inlineStr">
        <is>
          <t>A</t>
        </is>
      </c>
      <c r="C5" s="141">
        <f>IF('KPI Tracker FY26-27'!C14="","",'KPI Tracker FY26-27'!C14)</f>
        <v/>
      </c>
      <c r="D5" s="140">
        <f>IF('KPI Tracker FY26-27'!D14="","",'KPI Tracker FY26-27'!D14)</f>
        <v/>
      </c>
      <c r="E5" s="140">
        <f>IF('KPI Tracker FY26-27'!E14="","",'KPI Tracker FY26-27'!E14)</f>
        <v/>
      </c>
      <c r="F5" s="142">
        <f>IF('KPI Tracker FY26-27'!G14="","",'KPI Tracker FY26-27'!G14)</f>
        <v/>
      </c>
      <c r="G5" s="141">
        <f>IF('KPI Tracker FY26-27'!H14="","",'KPI Tracker FY26-27'!H14)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FY26-27'!M14="","",'KPI Tracker FY26-27'!M14)</f>
        <v/>
      </c>
      <c r="J5" s="140">
        <f>IF('KPI Tracker FY26-27'!N14="","",'KPI Tracker FY26-27'!N14)</f>
        <v/>
      </c>
      <c r="K5" s="140">
        <f>IF('KPI Tracker FY26-27'!O14="","",'KPI Tracker FY26-27'!O14)</f>
        <v/>
      </c>
      <c r="L5" s="140">
        <f>IF('KPI Tracker FY26-27'!P14="","",'KPI Tracker FY26-27'!P14)</f>
        <v/>
      </c>
      <c r="M5" s="140">
        <f>IF('KPI Tracker FY26-27'!Q14="","",'KPI Tracker FY26-27'!Q14)</f>
        <v/>
      </c>
      <c r="N5" s="141">
        <f>IF('KPI Tracker FY26-27'!R14="","",'KPI Tracker FY26-27'!R14)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92" customHeight="1">
      <c r="A9" s="123" t="n">
        <v>3</v>
      </c>
      <c r="B9" s="123" t="inlineStr">
        <is>
          <t>B</t>
        </is>
      </c>
      <c r="C9" s="124" t="inlineStr">
        <is>
          <t>Business Ops — Shared Teams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Creative Resource Utilisation — All Units</t>
        </is>
      </c>
      <c r="G9" s="124" t="inlineStr">
        <is>
          <t>Of the Graphic Designer &amp; Video Editor bandwidth allocated across all sub-departments, the % actually used against planned deliverables in the cycle. Central reads the aggregate and the skew — which units are stretched, which under-use; day-to-day management stays with unit PMs. Low = planning gaps · over = scope creep or under-resourcing.</t>
        </is>
      </c>
      <c r="H9" s="124" t="inlineStr">
        <is>
          <t>enabling → dept Creative Resource Utilisation (§5, PMO lane) — the dept KPI lands its team owner here; domain views keep their own slice (FS: Creative Resource Utilisation Rate)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Baseline first: Q1 builds the allocation register per unit; unit PMs supply the reads, the PMO manager collects at the check-in, the Business Ops lead owns the judgment. FS Q1 Jul reference: A 100% — fully utilised, at times stretched.</t>
        </is>
      </c>
    </row>
    <row r="10" ht="84" customHeight="1">
      <c r="A10" s="123" t="n">
        <v>4</v>
      </c>
      <c r="B10" s="123" t="inlineStr">
        <is>
          <t>B</t>
        </is>
      </c>
      <c r="C10" s="124" t="inlineStr">
        <is>
          <t>Business Ops — Shared Teams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Cross-functional Resource Utilisation — All Units</t>
        </is>
      </c>
      <c r="G10" s="124" t="inlineStr">
        <is>
          <t>Of the embedded function bandwidth (Engineering, Product, Pedagogy, DA/DEs, Product Design) allocated into units, the % actually used on committed work in the cycle — across every sub-department and function. Read the same way: low = planning gaps · over = scope creep or under-resourcing.</t>
        </is>
      </c>
      <c r="H10" s="124" t="inlineStr">
        <is>
          <t>enabling → dept Cross-functional Resource Utilisation (§5, PMO lane) — the dept KPI lands its team owner here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Baseline first: same allocation register; unit PMs supply the reads, the PMO manager collects at the check-in, the Business Ops lead owns the judgment.</t>
        </is>
      </c>
    </row>
    <row r="11" ht="71" customHeight="1">
      <c r="A11" s="123" t="n">
        <v>5</v>
      </c>
      <c r="B11" s="123" t="inlineStr">
        <is>
          <t>B</t>
        </is>
      </c>
      <c r="C11" s="124" t="inlineStr">
        <is>
          <t>Agentic Content Platform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Shared Tool Adoption</t>
        </is>
      </c>
      <c r="G11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11" s="124" t="inlineStr">
        <is>
          <t>enabling → tracker Agentic Production Coverage — adoption is how all units reach the 90 bar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Bar: ALL learning domains within a month of shipping — an unadopted shared tool is shelfware. Owned by the Business Ops lead (ACP builder hat).</t>
        </is>
      </c>
    </row>
    <row r="12" ht="84" customHeight="1">
      <c r="A12" s="123" t="n">
        <v>6</v>
      </c>
      <c r="B12" s="123" t="inlineStr">
        <is>
          <t>B</t>
        </is>
      </c>
      <c r="C12" s="124" t="inlineStr">
        <is>
          <t>PMO</t>
        </is>
      </c>
      <c r="D12" s="123" t="inlineStr">
        <is>
          <t>All</t>
        </is>
      </c>
      <c r="E12" s="123" t="inlineStr">
        <is>
          <t>All</t>
        </is>
      </c>
      <c r="F12" s="125" t="inlineStr">
        <is>
          <t>Worklog &amp; Status Hygiene — All Units</t>
        </is>
      </c>
      <c r="G12" s="124" t="inlineStr">
        <is>
          <t>Of the ~10 units on the check-in calendar, the % entering the monthly check-in with complete worklogs and current deliverable statuses (ClickUp). Check-ins Run says the meeting happened; this says it was fed — and complete worklogs are what make deliverable costing computable in every unit.</t>
        </is>
      </c>
      <c r="H12" s="124" t="inlineStr">
        <is>
          <t>hygiene — operating-rhythm guardrail (input side); no org ladder by design</t>
        </is>
      </c>
      <c r="I12" s="123" t="inlineStr">
        <is>
          <t>%</t>
        </is>
      </c>
      <c r="J12" s="123" t="inlineStr">
        <is>
          <t>Monthly</t>
        </is>
      </c>
      <c r="K12" s="123" t="n"/>
      <c r="L12" s="123" t="n"/>
      <c r="M12" s="126">
        <f>IF(AND(ISNUMBER(K12),ISNUMBER(L12)),K12-L12,"")</f>
        <v/>
      </c>
      <c r="N12" s="124" t="inlineStr">
        <is>
          <t>Unit PMs capture worklogs &amp; statuses in their own Team Ops &amp; People category; the PMO manager checks completeness at collection. Baseline first: needs the unit-PM layer live.</t>
        </is>
      </c>
    </row>
    <row r="13" ht="58" customHeight="1">
      <c r="A13" s="123" t="n">
        <v>7</v>
      </c>
      <c r="B13" s="123" t="inlineStr">
        <is>
          <t>B</t>
        </is>
      </c>
      <c r="C13" s="124" t="inlineStr">
        <is>
          <t>PMO</t>
        </is>
      </c>
      <c r="D13" s="123" t="inlineStr">
        <is>
          <t>All</t>
        </is>
      </c>
      <c r="E13" s="123" t="inlineStr">
        <is>
          <t>All</t>
        </is>
      </c>
      <c r="F13" s="125" t="inlineStr">
        <is>
          <t>Check-ins Run</t>
        </is>
      </c>
      <c r="G13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3" s="124" t="inlineStr">
        <is>
          <t>hygiene — operating-rhythm guardrail; no org ladder by design</t>
        </is>
      </c>
      <c r="I13" s="123" t="inlineStr">
        <is>
          <t>%</t>
        </is>
      </c>
      <c r="J13" s="123" t="inlineStr">
        <is>
          <t>Monthly</t>
        </is>
      </c>
      <c r="K13" s="123" t="n"/>
      <c r="L13" s="123" t="n"/>
      <c r="M13" s="126">
        <f>IF(AND(ISNUMBER(K13),ISNUMBER(L13)),K13-L13,"")</f>
        <v/>
      </c>
      <c r="N13" s="124" t="inlineStr">
        <is>
          <t>Run by the PMO manager; unit PMs supply the pre-read inputs — orchestration here, the work stays with the units.</t>
        </is>
      </c>
    </row>
    <row r="14" ht="58" customHeight="1">
      <c r="A14" s="123" t="n">
        <v>8</v>
      </c>
      <c r="B14" s="123" t="inlineStr">
        <is>
          <t>B</t>
        </is>
      </c>
      <c r="C14" s="124" t="inlineStr">
        <is>
          <t>PMO</t>
        </is>
      </c>
      <c r="D14" s="123" t="inlineStr">
        <is>
          <t>All</t>
        </is>
      </c>
      <c r="E14" s="123" t="inlineStr">
        <is>
          <t>All</t>
        </is>
      </c>
      <c r="F14" s="125" t="inlineStr">
        <is>
          <t>Actions Closed</t>
        </is>
      </c>
      <c r="G14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4" s="124" t="inlineStr">
        <is>
          <t>hygiene — operating-rhythm guardrail; no org ladder by design</t>
        </is>
      </c>
      <c r="I14" s="123" t="inlineStr">
        <is>
          <t>%</t>
        </is>
      </c>
      <c r="J14" s="123" t="inlineStr">
        <is>
          <t>Monthly</t>
        </is>
      </c>
      <c r="K14" s="123" t="n"/>
      <c r="L14" s="123" t="n"/>
      <c r="M14" s="126">
        <f>IF(AND(ISNUMBER(K14),ISNUMBER(L14)),K14-L14,"")</f>
        <v/>
      </c>
      <c r="N14" s="124" t="inlineStr">
        <is>
          <t>Run by the PMO manager. Deferred companions (spend → outcome map · tracker freshness · finance turnaround) join after the start set runs a cycle or two.</t>
        </is>
      </c>
    </row>
    <row r="15" ht="26" customHeight="1">
      <c r="A15" s="139" t="inlineStr">
        <is>
          <t>C — Asks: what this team needs from counterparties (thin interface contracts — reviewed monthly)</t>
        </is>
      </c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</row>
    <row r="16" ht="40" customHeight="1">
      <c r="A16" s="140" t="n">
        <v>1</v>
      </c>
      <c r="B16" s="140" t="inlineStr">
        <is>
          <t>C</t>
        </is>
      </c>
      <c r="C16" s="141" t="inlineStr">
        <is>
          <t>Product, Engineering, Product Design &amp; Pedagogy function heads</t>
        </is>
      </c>
      <c r="D16" s="140" t="n"/>
      <c r="E16" s="140" t="n"/>
      <c r="F16" s="142" t="inlineStr">
        <is>
          <t>Execution-management KPI tracking</t>
        </is>
      </c>
      <c r="G16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6" s="141" t="n"/>
      <c r="I16" s="140" t="n"/>
      <c r="J16" s="140" t="n"/>
      <c r="K16" s="140" t="n"/>
      <c r="L16" s="140" t="n"/>
      <c r="M16" s="140" t="n"/>
      <c r="N16" s="141" t="n"/>
    </row>
    <row r="17" ht="40" customHeight="1">
      <c r="A17" s="140" t="n">
        <v>2</v>
      </c>
      <c r="B17" s="140" t="inlineStr">
        <is>
          <t>C</t>
        </is>
      </c>
      <c r="C17" s="141" t="inlineStr">
        <is>
          <t>Graphic Design &amp; Video Editing team heads</t>
        </is>
      </c>
      <c r="D17" s="140" t="n"/>
      <c r="E17" s="140" t="n"/>
      <c r="F17" s="142" t="inlineStr">
        <is>
          <t>Creative delivery-management tracking</t>
        </is>
      </c>
      <c r="G17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7" s="141" t="n"/>
      <c r="I17" s="140" t="n"/>
      <c r="J17" s="140" t="n"/>
      <c r="K17" s="140" t="n"/>
      <c r="L17" s="140" t="n"/>
      <c r="M17" s="140" t="n"/>
      <c r="N17" s="141" t="n"/>
    </row>
  </sheetData>
  <mergeCells count="7">
    <mergeCell ref="G17:N17"/>
    <mergeCell ref="A6:N6"/>
    <mergeCell ref="A4:N4"/>
    <mergeCell ref="A2:N2"/>
    <mergeCell ref="A15:N15"/>
    <mergeCell ref="G16:N16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2026-08-26T02:40:51Z</dcterms:modified>
</cp:coreProperties>
</file>