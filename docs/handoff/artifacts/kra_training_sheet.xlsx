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</fonts>
  <fills count="25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</fills>
  <borders count="59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84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</t>
        </is>
      </c>
      <c r="I3" s="55" t="inlineStr">
        <is>
          <t>lecture schedule adherence · classroom-quiz conduction &amp; attendance · practice release schedule · module-quiz schedule adherence &amp; integrity · skill-assessment schedule adherence (conducted by Program Ops) · learning assets (PPT + recorded video) ready &amp; loaded ≥1 month ahead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45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Agentic Content Platform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Agentic Content Platform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32" customHeight="1">
      <c r="A18" s="74" t="n">
        <v>15</v>
      </c>
      <c r="B18" s="75" t="n"/>
      <c r="C18" s="76" t="inlineStr">
        <is>
          <t>Content Effectiveness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Learning Environment Satisfaction</t>
        </is>
      </c>
      <c r="G18" s="76" t="inlineStr">
        <is>
          <t>Content Effectiveness:All::Learning Environment Satisfaction</t>
        </is>
      </c>
      <c r="H18" s="76" t="inlineStr">
        <is>
          <t>Student rating of the learning environment — driven by the four platform rows below</t>
        </is>
      </c>
      <c r="I18" s="76" t="inlineStr">
        <is>
          <t>driven by the four rows below</t>
        </is>
      </c>
      <c r="J18" s="76" t="inlineStr">
        <is>
          <t>platform reliable &amp; fast → rating ≥4.5 → Academics CSAT</t>
        </is>
      </c>
      <c r="K18" s="76" t="inlineStr">
        <is>
          <t>Engineering</t>
        </is>
      </c>
      <c r="L18" s="76" t="inlineStr">
        <is>
          <t>Developer Platform</t>
        </is>
      </c>
      <c r="M18" s="74" t="inlineStr">
        <is>
          <t>score /5</t>
        </is>
      </c>
      <c r="N18" s="76" t="inlineStr">
        <is>
          <t>Monthly</t>
        </is>
      </c>
      <c r="O18" s="78" t="n">
        <v>4.5</v>
      </c>
      <c r="P18" s="79" t="n"/>
      <c r="Q18" s="80">
        <f>IF(AND(ISNUMBER(O18),ISNUMBER(P18)),O18-P18,"")</f>
        <v/>
      </c>
      <c r="R18" s="76" t="inlineStr"/>
    </row>
    <row r="19" ht="32" customHeight="1">
      <c r="A19" s="74" t="n">
        <v>16</v>
      </c>
      <c r="B19" s="75" t="n"/>
      <c r="C19" s="76" t="inlineStr">
        <is>
          <t>Platform Reliability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Availability &amp; Saturation Detection</t>
        </is>
      </c>
      <c r="G19" s="76" t="inlineStr">
        <is>
          <t>Platform Reliability:All::Availability &amp; Saturation Detection</t>
        </is>
      </c>
      <c r="H19" s="76" t="inlineStr">
        <is>
          <t>% of critical-service saturations alerted, detection ≤10 min (IDE, compiler, workflows)</t>
        </is>
      </c>
      <c r="I19" s="76" t="inlineStr">
        <is>
          <t>critical services (IDE, compiler, workflows) · alert thresholds · detection time</t>
        </is>
      </c>
      <c r="J19" s="76" t="inlineStr">
        <is>
          <t>saturation detected ≤10 min → fixed before students feel it → LES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%</t>
        </is>
      </c>
      <c r="N19" s="76" t="inlineStr">
        <is>
          <t>Monthly</t>
        </is>
      </c>
      <c r="O19" s="78" t="n">
        <v>100</v>
      </c>
      <c r="P19" s="79" t="n"/>
      <c r="Q19" s="80">
        <f>IF(AND(ISNUMBER(O19),ISNUMBER(P19)),O19-P19,"")</f>
        <v/>
      </c>
      <c r="R19" s="76" t="inlineStr"/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Tail-Latency User Impact</t>
        </is>
      </c>
      <c r="G20" s="76" t="inlineStr">
        <is>
          <t>Platform Reliability:All::Tail-Latency User Impact</t>
        </is>
      </c>
      <c r="H20" s="76" t="inlineStr">
        <is>
          <t>% of students beyond P99 latency limits — IDE launch / submit / publish &lt;60 s</t>
        </is>
      </c>
      <c r="I20" s="76" t="inlineStr">
        <is>
          <t>IDE launch / submit / publish P99 &lt;60 s · compiler per-language limits</t>
        </is>
      </c>
      <c r="J20" s="76" t="inlineStr">
        <is>
          <t>P99 within limits → coding feels instant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0</v>
      </c>
      <c r="P20" s="79" t="n"/>
      <c r="Q20" s="80">
        <f>IF(AND(ISNUMBER(O20),ISNUMBER(P20)),O20-P20,"")</f>
        <v/>
      </c>
      <c r="R20" s="76" t="inlineStr">
        <is>
          <t>Lower is better — variance reads inverted.</t>
        </is>
      </c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Platform Issue Resolution Efficiency</t>
        </is>
      </c>
      <c r="G21" s="76" t="inlineStr">
        <is>
          <t>Platform Reliability:All::Platform Issue Resolution Efficiency</t>
        </is>
      </c>
      <c r="H21" s="76" t="inlineStr">
        <is>
          <t>% of platform issues resolved within the 2-day TAT (internal same-day)</t>
        </is>
      </c>
      <c r="I21" s="76" t="inlineStr">
        <is>
          <t>2-day TAT (internal same-day)</t>
        </is>
      </c>
      <c r="J21" s="76" t="inlineStr">
        <is>
          <t>platform issue → fixed fast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80</v>
      </c>
      <c r="P21" s="79" t="n"/>
      <c r="Q21" s="80">
        <f>IF(AND(ISNUMBER(O21),ISNUMBER(P21)),O21-P21,"")</f>
        <v/>
      </c>
      <c r="R21" s="76" t="inlineStr"/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Recurrence</t>
        </is>
      </c>
      <c r="G22" s="76" t="inlineStr">
        <is>
          <t>Platform Reliability:All::Platform Issue Recurrence</t>
        </is>
      </c>
      <c r="H22" s="76" t="inlineStr">
        <is>
          <t>% of resolved platform issues that recur (quarter)</t>
        </is>
      </c>
      <c r="I22" s="76" t="inlineStr">
        <is>
          <t>root-cause close</t>
        </is>
      </c>
      <c r="J22" s="76" t="inlineStr">
        <is>
          <t>fixed → never twice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Quarterly</t>
        </is>
      </c>
      <c r="O22" s="78" t="n">
        <v>2</v>
      </c>
      <c r="P22" s="79" t="n"/>
      <c r="Q22" s="80">
        <f>IF(AND(ISNUMBER(O22),ISNUMBER(P22)),O22-P22,"")</f>
        <v/>
      </c>
      <c r="R22" s="76" t="inlineStr">
        <is>
          <t>Lower is better — variance reads inverted.</t>
        </is>
      </c>
    </row>
    <row r="23" ht="45" customHeight="1">
      <c r="A23" s="74" t="n">
        <v>20</v>
      </c>
      <c r="B23" s="75" t="n"/>
      <c r="C23" s="76" t="inlineStr">
        <is>
          <t>Program Delivery</t>
        </is>
      </c>
      <c r="D23" s="74" t="inlineStr">
        <is>
          <t>NIAT</t>
        </is>
      </c>
      <c r="E23" s="74" t="inlineStr">
        <is>
          <t>All</t>
        </is>
      </c>
      <c r="F23" s="77" t="inlineStr">
        <is>
          <t>Journey Step Health</t>
        </is>
      </c>
      <c r="G23" s="76" t="inlineStr">
        <is>
          <t>Program Delivery:NIAT::Journey Step Health</t>
        </is>
      </c>
      <c r="H23" s="76" t="inlineStr">
        <is>
          <t>% of the 11 journey steps green — NIAT first, then per product</t>
        </is>
      </c>
      <c r="I23" s="76" t="inlineStr">
        <is>
          <t>the 11 journey steps — attendance · class runs · classroom quiz · practice · revision · module quiz · skill assessment … (one-pager §11)</t>
        </is>
      </c>
      <c r="J23" s="76" t="inlineStr">
        <is>
          <t>capabilities configured → 11 steps green → assembled experience works → Academics CSAT (+ SPI)</t>
        </is>
      </c>
      <c r="K23" s="76" t="inlineStr">
        <is>
          <t>Product Managers + DA/DEs + CSI team</t>
        </is>
      </c>
      <c r="L23" s="76" t="inlineStr">
        <is>
          <t>Product Learning Experience</t>
        </is>
      </c>
      <c r="M23" s="74" t="inlineStr">
        <is>
          <t>%</t>
        </is>
      </c>
      <c r="N23" s="76" t="inlineStr">
        <is>
          <t>Monthly</t>
        </is>
      </c>
      <c r="O23" s="79" t="n"/>
      <c r="P23" s="79" t="n"/>
      <c r="Q23" s="80">
        <f>IF(AND(ISNUMBER(O23),ISNUMBER(P23)),O23-P23,"")</f>
        <v/>
      </c>
      <c r="R23" s="76" t="inlineStr">
        <is>
          <t>Q1 baseline sets the budget — blank until then (org-tracker precedent).</t>
        </is>
      </c>
    </row>
    <row r="24" ht="45" customHeight="1">
      <c r="A24" s="74" t="n">
        <v>21</v>
      </c>
      <c r="B24" s="75" t="n"/>
      <c r="C24" s="76" t="inlineStr">
        <is>
          <t>Content Efficiency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Product Issue Resolution Efficiency  [CROSS-DEPT]</t>
        </is>
      </c>
      <c r="G24" s="76" t="inlineStr">
        <is>
          <t>Content Efficiency:NIAT::Product Issue Resolution Efficiency</t>
        </is>
      </c>
      <c r="H24" s="76" t="inlineStr">
        <is>
          <t>% of student-reported product issues resolved within TAT — resolved across departments, we route; fix live + students notified</t>
        </is>
      </c>
      <c r="I24" s="76" t="inlineStr">
        <is>
          <t>routing to owning department · fix live · students notified (silent fixes don't count)</t>
        </is>
      </c>
      <c r="J24" s="76" t="inlineStr">
        <is>
          <t>any student issue → routed → fixed + notified → Academics CSAT</t>
        </is>
      </c>
      <c r="K24" s="76" t="inlineStr">
        <is>
          <t>Product Managers + CSI team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TAT target — blank until then.</t>
        </is>
      </c>
    </row>
    <row r="25" ht="32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Recurrence  [CROSS-DEPT]</t>
        </is>
      </c>
      <c r="G25" s="76" t="inlineStr">
        <is>
          <t>Content Efficiency:NIAT::Product Issue Recurrence</t>
        </is>
      </c>
      <c r="H25" s="76" t="inlineStr">
        <is>
          <t>% of resolved product issues that recur at student-journey level (quarter)</t>
        </is>
      </c>
      <c r="I25" s="76" t="inlineStr">
        <is>
          <t>student-journey-level recurrence watch</t>
        </is>
      </c>
      <c r="J25" s="76" t="inlineStr">
        <is>
          <t>resolved once → never twice at journey level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Quarterly</t>
        </is>
      </c>
      <c r="O25" s="78" t="n">
        <v>2</v>
      </c>
      <c r="P25" s="79" t="n"/>
      <c r="Q25" s="80">
        <f>IF(AND(ISNUMBER(O25),ISNUMBER(P25)),O25-P25,"")</f>
        <v/>
      </c>
      <c r="R25" s="76" t="inlineStr">
        <is>
          <t>Lower is better — variance reads inverted.</t>
        </is>
      </c>
    </row>
    <row r="26" ht="24" customHeight="1">
      <c r="A26" s="81" t="n">
        <v>23</v>
      </c>
      <c r="B26" s="82" t="inlineStr">
        <is>
          <t>KRA 3 — University Relations CSAT
4.5 · 4.0 · 4.0</t>
        </is>
      </c>
      <c r="C26" s="83" t="inlineStr">
        <is>
          <t>University Alignment</t>
        </is>
      </c>
      <c r="D26" s="81" t="inlineStr">
        <is>
          <t>NIAT</t>
        </is>
      </c>
      <c r="E26" s="81" t="inlineStr">
        <is>
          <t>B3</t>
        </is>
      </c>
      <c r="F26" s="84" t="inlineStr">
        <is>
          <t>BOS Credit Acceptance</t>
        </is>
      </c>
      <c r="G26" s="83" t="inlineStr">
        <is>
          <t>University Alignment:NIAT:B3::BOS Credit Acceptance</t>
        </is>
      </c>
      <c r="H26" s="83" t="inlineStr">
        <is>
          <t>% of proposed credits accepted first-pass by the university BOS</t>
        </is>
      </c>
      <c r="I26" s="83" t="inlineStr">
        <is>
          <t>per-credit acceptance per university · curriculum finalisation (Bharath, PK Das, Visakha pending)</t>
        </is>
      </c>
      <c r="J26" s="83" t="inlineStr">
        <is>
          <t>credits proposed → accepted first pass → university leadership confidence → Univ Relations CSAT</t>
        </is>
      </c>
      <c r="K26" s="83" t="inlineStr">
        <is>
          <t>CSI team + Content</t>
        </is>
      </c>
      <c r="L26" s="83" t="inlineStr">
        <is>
          <t>Product Learning Experience</t>
        </is>
      </c>
      <c r="M26" s="81" t="inlineStr">
        <is>
          <t>%</t>
        </is>
      </c>
      <c r="N26" s="83" t="inlineStr">
        <is>
          <t>Per cycle</t>
        </is>
      </c>
      <c r="O26" s="85" t="n">
        <v>85</v>
      </c>
      <c r="P26" s="86" t="n"/>
      <c r="Q26" s="87">
        <f>IF(AND(ISNUMBER(O26),ISNUMBER(P26)),O26-P26,"")</f>
        <v/>
      </c>
      <c r="R26" s="83" t="inlineStr">
        <is>
          <t>Cohort rows split where targets differ: B3 85 · B4 90.</t>
        </is>
      </c>
    </row>
    <row r="27" ht="24" customHeight="1">
      <c r="A27" s="88" t="n">
        <v>24</v>
      </c>
      <c r="B27" s="89" t="n"/>
      <c r="C27" s="90" t="n"/>
      <c r="D27" s="90" t="n"/>
      <c r="E27" s="88" t="inlineStr">
        <is>
          <t>B4</t>
        </is>
      </c>
      <c r="F27" s="90" t="n"/>
      <c r="G27" s="91" t="inlineStr">
        <is>
          <t>University Alignment:NIAT:B4::BOS Credit Acceptance</t>
        </is>
      </c>
      <c r="H27" s="90" t="n"/>
      <c r="I27" s="90" t="n"/>
      <c r="J27" s="90" t="n"/>
      <c r="K27" s="90" t="n"/>
      <c r="L27" s="90" t="n"/>
      <c r="M27" s="90" t="n"/>
      <c r="N27" s="90" t="n"/>
      <c r="O27" s="92" t="n">
        <v>90</v>
      </c>
      <c r="P27" s="90" t="n"/>
      <c r="Q27" s="93">
        <f>IF(AND(ISNUMBER(O27),ISNUMBER(P27)),O27-P27,"")</f>
        <v/>
      </c>
      <c r="R27" s="90" t="n"/>
    </row>
    <row r="28" ht="30" customHeight="1">
      <c r="A28" s="90" t="n"/>
      <c r="B28" s="89" t="n"/>
      <c r="C28" s="109" t="inlineStr">
        <is>
          <t>Program Delivery Gap feeds this KRA too — tracked once as row 1 (CASCADE): delivered = approved plan → university trust → Univ Relations CSAT.</t>
        </is>
      </c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P28" s="90" t="n"/>
      <c r="Q28" s="90" t="n"/>
      <c r="R28" s="90" t="n"/>
    </row>
    <row r="29" ht="45" customHeight="1">
      <c r="A29" s="88" t="n">
        <v>25</v>
      </c>
      <c r="B29" s="89" t="n"/>
      <c r="C29" s="91" t="inlineStr">
        <is>
          <t>University Alignment</t>
        </is>
      </c>
      <c r="D29" s="88" t="inlineStr">
        <is>
          <t>NIAT</t>
        </is>
      </c>
      <c r="E29" s="88" t="inlineStr">
        <is>
          <t>—</t>
        </is>
      </c>
      <c r="F29" s="94" t="inlineStr">
        <is>
          <t>University Communication TAT</t>
        </is>
      </c>
      <c r="G29" s="91" t="inlineStr">
        <is>
          <t>University Alignment:NIAT::University Communication TAT</t>
        </is>
      </c>
      <c r="H29" s="91" t="inlineStr">
        <is>
          <t>% of university requests answered within TAT — ack ≤1 business day, standard 3-day TAT</t>
        </is>
      </c>
      <c r="I29" s="91" t="inlineStr">
        <is>
          <t>ack ≤1 business day · request-class TATs (standard 3 days, heavy artefacts pre-agreed) · university-request log (month 1)</t>
        </is>
      </c>
      <c r="J29" s="91" t="inlineStr">
        <is>
          <t>requests answered in TAT → partnership friction drops → Univ Relations CSAT</t>
        </is>
      </c>
      <c r="K29" s="91" t="inlineStr">
        <is>
          <t>CSI team</t>
        </is>
      </c>
      <c r="L29" s="91" t="inlineStr">
        <is>
          <t>Product Learning Experience</t>
        </is>
      </c>
      <c r="M29" s="88" t="inlineStr">
        <is>
          <t>%</t>
        </is>
      </c>
      <c r="N29" s="91" t="inlineStr">
        <is>
          <t>Monthly</t>
        </is>
      </c>
      <c r="O29" s="92" t="n">
        <v>90</v>
      </c>
      <c r="P29" s="90" t="n"/>
      <c r="Q29" s="93">
        <f>IF(AND(ISNUMBER(O29),ISNUMBER(P29)),O29-P29,"")</f>
        <v/>
      </c>
      <c r="R29" s="91" t="inlineStr">
        <is>
          <t>University-request log builds in month 1.</t>
        </is>
      </c>
    </row>
    <row r="30" ht="32" customHeight="1">
      <c r="A30" s="88" t="n">
        <v>26</v>
      </c>
      <c r="B30" s="89" t="n"/>
      <c r="C30" s="91" t="inlineStr">
        <is>
          <t>Content Relevance</t>
        </is>
      </c>
      <c r="D30" s="88" t="inlineStr">
        <is>
          <t>NIAT</t>
        </is>
      </c>
      <c r="E30" s="88" t="inlineStr">
        <is>
          <t>All</t>
        </is>
      </c>
      <c r="F30" s="94" t="inlineStr">
        <is>
          <t>University Curriculum &amp; Framework Compliance</t>
        </is>
      </c>
      <c r="G30" s="91" t="inlineStr">
        <is>
          <t>Content Relevance:NIAT::University Curriculum &amp; Framework Compliance</t>
        </is>
      </c>
      <c r="H30" s="91" t="inlineStr">
        <is>
          <t>% of submission cycles fully compliant — approved BOS syllabus + NHQRF / Woolf / AICTE / UGC</t>
        </is>
      </c>
      <c r="I30" s="91" t="inlineStr">
        <is>
          <t>delivery matches the approved BOS syllabus · NHQRF / Woolf / AICTE / UGC audits</t>
        </is>
      </c>
      <c r="J30" s="91" t="inlineStr">
        <is>
          <t>BOS &amp; frameworks kept → zero partnership risk → Univ Relations CSAT</t>
        </is>
      </c>
      <c r="K30" s="91" t="inlineStr">
        <is>
          <t>CSI team + Content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Per cycle</t>
        </is>
      </c>
      <c r="O30" s="92" t="n">
        <v>100</v>
      </c>
      <c r="P30" s="90" t="n"/>
      <c r="Q30" s="93">
        <f>IF(AND(ISNUMBER(O30),ISNUMBER(P30)),O30-P30,"")</f>
        <v/>
      </c>
      <c r="R30" s="91" t="inlineStr"/>
    </row>
    <row r="31" ht="32" customHeight="1">
      <c r="A31" s="95" t="n">
        <v>27</v>
      </c>
      <c r="B31" s="96" t="inlineStr">
        <is>
          <t>KRA 4 — GRIT Novice Badges
5,000</t>
        </is>
      </c>
      <c r="C31" s="97" t="inlineStr">
        <is>
          <t>Content Relevance</t>
        </is>
      </c>
      <c r="D31" s="95" t="inlineStr">
        <is>
          <t>NIAT</t>
        </is>
      </c>
      <c r="E31" s="95" t="inlineStr">
        <is>
          <t>All</t>
        </is>
      </c>
      <c r="F31" s="98" t="inlineStr">
        <is>
          <t>Industry Update Adherence</t>
        </is>
      </c>
      <c r="G31" s="97" t="inlineStr">
        <is>
          <t>Content Relevance:NIAT::Industry Update Adherence</t>
        </is>
      </c>
      <c r="H31" s="97" t="inlineStr">
        <is>
          <t>% of GRIT-tested skills covered in live course content — Learning–GRIT delta → 0</t>
        </is>
      </c>
      <c r="I31" s="97" t="inlineStr">
        <is>
          <t>GRIT-tested skills inventory vs live course content</t>
        </is>
      </c>
      <c r="J31" s="97" t="inlineStr">
        <is>
          <t>course content covers GRIT-tested skills → students contest-ready → Novice badges</t>
        </is>
      </c>
      <c r="K31" s="97" t="inlineStr">
        <is>
          <t>Content</t>
        </is>
      </c>
      <c r="L31" s="97" t="inlineStr">
        <is>
          <t>Learning Domains</t>
        </is>
      </c>
      <c r="M31" s="95" t="inlineStr">
        <is>
          <t>%</t>
        </is>
      </c>
      <c r="N31" s="97" t="inlineStr">
        <is>
          <t>Quarterly</t>
        </is>
      </c>
      <c r="O31" s="99" t="n">
        <v>100</v>
      </c>
      <c r="P31" s="100" t="n"/>
      <c r="Q31" s="101">
        <f>IF(AND(ISNUMBER(O31),ISNUMBER(P31)),O31-P31,"")</f>
        <v/>
      </c>
      <c r="R31" s="97" t="inlineStr"/>
    </row>
    <row r="32" ht="30" customHeight="1">
      <c r="A32" s="102" t="n"/>
      <c r="B32" s="103" t="n"/>
      <c r="C32" s="104" t="inlineStr">
        <is>
          <t>GRIT-feature KPIs — org-owned, pending definition with the GRIT owner (Sundar); rows enter the tracker when defined.</t>
        </is>
      </c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30" customHeight="1">
      <c r="A33" s="105" t="n"/>
      <c r="B33" s="106" t="inlineStr">
        <is>
          <t>KRA 5 — Employability
B3 80% · B4 80%</t>
        </is>
      </c>
      <c r="C33" s="107" t="inlineStr">
        <is>
          <t>Employability mapping deliberately not forced — skill mastery is the long lever; rows enter the tracker when the mapping is agreed.</t>
        </is>
      </c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</row>
  </sheetData>
  <mergeCells count="59">
    <mergeCell ref="I4:I11"/>
    <mergeCell ref="H26:H27"/>
    <mergeCell ref="K4:K11"/>
    <mergeCell ref="N26:N27"/>
    <mergeCell ref="M4:M11"/>
    <mergeCell ref="K26:K27"/>
    <mergeCell ref="E8:E11"/>
    <mergeCell ref="F12:F13"/>
    <mergeCell ref="L12:L13"/>
    <mergeCell ref="B33"/>
    <mergeCell ref="N12:N13"/>
    <mergeCell ref="C1:C2"/>
    <mergeCell ref="E1:E2"/>
    <mergeCell ref="K1:K2"/>
    <mergeCell ref="M1:M2"/>
    <mergeCell ref="C26:C27"/>
    <mergeCell ref="I26:I27"/>
    <mergeCell ref="F4:F11"/>
    <mergeCell ref="C32:R32"/>
    <mergeCell ref="H4:H11"/>
    <mergeCell ref="N4:N11"/>
    <mergeCell ref="E4:E7"/>
    <mergeCell ref="C28:R28"/>
    <mergeCell ref="R4:R11"/>
    <mergeCell ref="R12:R13"/>
    <mergeCell ref="F26:F27"/>
    <mergeCell ref="C12:C13"/>
    <mergeCell ref="I12:I13"/>
    <mergeCell ref="B16:B25"/>
    <mergeCell ref="K12:K13"/>
    <mergeCell ref="M12:M13"/>
    <mergeCell ref="B1:B2"/>
    <mergeCell ref="D12:D13"/>
    <mergeCell ref="L1:L2"/>
    <mergeCell ref="C4:C11"/>
    <mergeCell ref="N1:N2"/>
    <mergeCell ref="C15:R15"/>
    <mergeCell ref="R26:R27"/>
    <mergeCell ref="J26:J27"/>
    <mergeCell ref="C33:R33"/>
    <mergeCell ref="B26:B30"/>
    <mergeCell ref="L26:L27"/>
    <mergeCell ref="H12:H13"/>
    <mergeCell ref="J12:J13"/>
    <mergeCell ref="G1:G2"/>
    <mergeCell ref="I1:I2"/>
    <mergeCell ref="O1:R1"/>
    <mergeCell ref="D4:D11"/>
    <mergeCell ref="J4:J11"/>
    <mergeCell ref="M26:M27"/>
    <mergeCell ref="L4:L11"/>
    <mergeCell ref="B31:B32"/>
    <mergeCell ref="D26:D27"/>
    <mergeCell ref="D1:D2"/>
    <mergeCell ref="B3:B15"/>
    <mergeCell ref="F1:F2"/>
    <mergeCell ref="H1:H2"/>
    <mergeCell ref="J1:J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FY26-27'!$K$3:$K$33,"*Content*")</f>
        <v/>
      </c>
    </row>
    <row r="3" ht="30" customHeight="1">
      <c r="A3" s="110" t="inlineStr">
        <is>
          <t>Engineering</t>
        </is>
      </c>
      <c r="B3" s="111" t="inlineStr">
        <is>
          <t>LES + its four drivers (DP lane) · Content Issue pair tooling/routing (ACP lane) · Cell Migration build (LP lane)</t>
        </is>
      </c>
      <c r="C3" s="112">
        <f>COUNTIF('KPI Tracker FY26-27'!$K$3:$K$33,"*Engineering*")</f>
        <v/>
      </c>
    </row>
    <row r="4" ht="30" customHeight="1">
      <c r="A4" s="110" t="inlineStr">
        <is>
          <t>Product Managers</t>
        </is>
      </c>
      <c r="B4" s="111" t="inlineStr">
        <is>
          <t>Program Delivery Gap (feeds KRA 1 + 3) · Engagement-Matrix Cell Migration · Journey Step Health · Product Issue pair</t>
        </is>
      </c>
      <c r="C4" s="112">
        <f>COUNTIF('KPI Tracker FY26-27'!$K$3:$K$33,"*Product Managers*")</f>
        <v/>
      </c>
    </row>
    <row r="5" ht="30" customHeight="1">
      <c r="A5" s="110" t="inlineStr">
        <is>
          <t>Pedagogy Experts</t>
        </is>
      </c>
      <c r="B5" s="111" t="inlineStr">
        <is>
          <t>Module-Quiz Score Bands · Content–Assessment Alignment</t>
        </is>
      </c>
      <c r="C5" s="112">
        <f>COUNTIF('KPI Tracker FY26-27'!$K$3:$K$33,"*Pedagogy Experts*")</f>
        <v/>
      </c>
    </row>
    <row r="6" ht="30" customHeight="1">
      <c r="A6" s="110" t="inlineStr">
        <is>
          <t>DA/DEs</t>
        </is>
      </c>
      <c r="B6" s="111" t="inlineStr">
        <is>
          <t>score analysis (bands, alignment) · LE dashboard (cell migration) · Journey Step Health instrumentation</t>
        </is>
      </c>
      <c r="C6" s="112">
        <f>COUNTIF('KPI Tracker FY26-27'!$K$3:$K$33,"*DA/DE*")</f>
        <v/>
      </c>
    </row>
    <row r="7" ht="30" customHeight="1">
      <c r="A7" s="110" t="inlineStr">
        <is>
          <t>CSI team</t>
        </is>
      </c>
      <c r="B7" s="111" t="inlineStr">
        <is>
          <t>Program Delivery Gap (feeds KRA 1 + 3) · Journey Step Health · Product Issue pair · BOS · University Communication TAT · Compliance</t>
        </is>
      </c>
      <c r="C7" s="112">
        <f>COUNTIF('KPI Tracker FY26-27'!$K$3:$K$33,"*CSI team*")</f>
        <v/>
      </c>
    </row>
    <row r="8" ht="30" customHeight="1">
      <c r="A8" s="110" t="inlineStr">
        <is>
          <t>Asset production — Graphic Designers · Video Editors · SDIs · Packaging Teams</t>
        </is>
      </c>
      <c r="B8" s="111" t="inlineStr">
        <is>
          <t>Program Delivery Gap assets leg — learning assets (PPT + recorded video) ready &amp; loaded ≥1 month ahead</t>
        </is>
      </c>
      <c r="C8" s="112">
        <f>COUNTIF('KPI Tracker FY26-27'!$K$3:$K$33,"*Graphic Designers*")</f>
        <v/>
      </c>
    </row>
    <row r="9" ht="30" customHeight="1">
      <c r="A9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9" s="114" t="n"/>
      <c r="C9" s="114" t="n"/>
    </row>
  </sheetData>
  <mergeCells count="1">
    <mergeCell ref="A9:C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34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Lanes: Learning Domains · Learning Platform · Developer Platform · Agentic Content Platform · Product Learning Experience.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34" customHeight="1">
      <c r="A7" s="32" t="inlineStr">
        <is>
          <t>Markers</t>
        </is>
      </c>
      <c r="B7" s="33" t="inlineStr">
        <is>
          <t>[ORG] org-owned scoreboard, tracked not owned · [CROSS-DEPT] resolved across departments,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2026-08-21T10:07:59Z</dcterms:modified>
</cp:coreProperties>
</file>