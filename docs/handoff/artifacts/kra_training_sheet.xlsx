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Tracker FY26-27" sheetId="1" state="visible" r:id="rId1"/>
    <sheet xmlns:r="http://schemas.openxmlformats.org/officeDocument/2006/relationships" name="Session Index" sheetId="2" state="visible" r:id="rId2"/>
    <sheet xmlns:r="http://schemas.openxmlformats.org/officeDocument/2006/relationships" name="Legend &amp; 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10"/>
    </font>
    <font>
      <name val="Arial"/>
      <b val="1"/>
      <color rgb="FFFFFFFF"/>
      <sz val="10"/>
    </font>
    <font>
      <name val="Arial"/>
      <color rgb="FF1A1A1A"/>
      <sz val="10"/>
    </font>
    <font>
      <name val="Arial"/>
      <b val="1"/>
      <color rgb="FF1A1A1A"/>
      <sz val="10"/>
    </font>
    <font>
      <name val="Arial"/>
      <i val="1"/>
      <color rgb="FF777777"/>
      <sz val="10"/>
    </font>
  </fonts>
  <fills count="25">
    <fill>
      <patternFill/>
    </fill>
    <fill>
      <patternFill patternType="gray125"/>
    </fill>
    <fill>
      <patternFill patternType="solid"/>
    </fill>
    <fill>
      <patternFill patternType="solid">
        <fgColor rgb="00F2F7FD"/>
      </patternFill>
    </fill>
    <fill>
      <patternFill patternType="solid">
        <fgColor rgb="00FEF6F3"/>
      </patternFill>
    </fill>
    <fill>
      <patternFill patternType="solid">
        <fgColor rgb="00F1FAF7"/>
      </patternFill>
    </fill>
    <fill>
      <patternFill patternType="solid">
        <fgColor rgb="00FEF9F0"/>
      </patternFill>
    </fill>
    <fill>
      <patternFill patternType="solid">
        <fgColor rgb="00FEF7FA"/>
      </patternFill>
    </fill>
    <fill>
      <patternFill patternType="solid">
        <fgColor rgb="00DFEBF9"/>
      </patternFill>
    </fill>
    <fill>
      <patternFill patternType="solid">
        <fgColor rgb="00FCE8E1"/>
      </patternFill>
    </fill>
    <fill>
      <patternFill patternType="solid">
        <fgColor rgb="00DDF3EB"/>
      </patternFill>
    </fill>
    <fill>
      <patternFill patternType="solid">
        <fgColor rgb="00FCF1D9"/>
      </patternFill>
    </fill>
    <fill>
      <patternFill patternType="solid">
        <fgColor rgb="00FCEBF1"/>
      </patternFill>
    </fill>
    <fill>
      <patternFill patternType="solid">
        <fgColor rgb="00F5F5F5"/>
      </patternFill>
    </fill>
    <fill>
      <patternFill patternType="solid">
        <fgColor rgb="FF000000"/>
      </patternFill>
    </fill>
    <fill>
      <patternFill patternType="solid">
        <fgColor rgb="FFF2F7FD"/>
      </patternFill>
    </fill>
    <fill>
      <patternFill patternType="solid">
        <fgColor rgb="FFFEF6F3"/>
      </patternFill>
    </fill>
    <fill>
      <patternFill patternType="solid">
        <fgColor rgb="FFF1FAF7"/>
      </patternFill>
    </fill>
    <fill>
      <patternFill patternType="solid">
        <fgColor rgb="FFFEF9F0"/>
      </patternFill>
    </fill>
    <fill>
      <patternFill patternType="solid">
        <fgColor rgb="FFFEF7FA"/>
      </patternFill>
    </fill>
    <fill>
      <patternFill patternType="solid">
        <fgColor rgb="FFDFEBF9"/>
      </patternFill>
    </fill>
    <fill>
      <patternFill patternType="solid">
        <fgColor rgb="FFFCE8E1"/>
      </patternFill>
    </fill>
    <fill>
      <patternFill patternType="solid">
        <fgColor rgb="FFDDF3EB"/>
      </patternFill>
    </fill>
    <fill>
      <patternFill patternType="solid">
        <fgColor rgb="FFFCF1D9"/>
      </patternFill>
    </fill>
    <fill>
      <patternFill patternType="solid">
        <fgColor rgb="FFFCEBF1"/>
      </patternFill>
    </fill>
  </fills>
  <borders count="59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n">
        <color rgb="00C8C8C8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2A78D6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B683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1BAF7A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DA100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medium">
        <color rgb="00555555"/>
      </top>
      <bottom style="thin">
        <color rgb="00C8C8C8"/>
      </bottom>
    </border>
    <border>
      <left style="thick">
        <color rgb="00E87BA4"/>
      </left>
      <right style="thin">
        <color rgb="00C8C8C8"/>
      </right>
      <top style="thin">
        <color rgb="00C8C8C8"/>
      </top>
      <bottom style="thin">
        <color rgb="00C8C8C8"/>
      </bottom>
    </border>
    <border>
      <left style="thick">
        <color rgb="00EB6834"/>
      </left>
      <right/>
      <top/>
      <bottom/>
      <diagonal/>
    </border>
    <border>
      <left style="thick">
        <color rgb="00EB6834"/>
      </left>
      <right style="thin">
        <color rgb="00C8C8C8"/>
      </right>
      <top/>
      <bottom/>
      <diagonal/>
    </border>
    <border>
      <left style="thick">
        <color rgb="00EB6834"/>
      </left>
      <right style="thin">
        <color rgb="00C8C8C8"/>
      </right>
      <top/>
      <bottom style="thin">
        <color rgb="00C8C8C8"/>
      </bottom>
      <diagonal/>
    </border>
    <border>
      <left style="thick">
        <color rgb="00EDA100"/>
      </left>
      <right/>
      <top/>
      <bottom/>
      <diagonal/>
    </border>
    <border>
      <left style="thick">
        <color rgb="00EDA100"/>
      </left>
      <right style="thin">
        <color rgb="00C8C8C8"/>
      </right>
      <top/>
      <bottom/>
      <diagonal/>
    </border>
    <border>
      <left style="thick">
        <color rgb="00EDA100"/>
      </left>
      <right style="thin">
        <color rgb="00C8C8C8"/>
      </right>
      <top/>
      <bottom style="thin">
        <color rgb="00C8C8C8"/>
      </bottom>
      <diagonal/>
    </border>
    <border>
      <left style="thick">
        <color rgb="001BAF7A"/>
      </left>
      <right/>
      <top/>
      <bottom/>
      <diagonal/>
    </border>
    <border>
      <left style="thick">
        <color rgb="001BAF7A"/>
      </left>
      <right style="thin">
        <color rgb="00C8C8C8"/>
      </right>
      <top/>
      <bottom/>
      <diagonal/>
    </border>
    <border>
      <left style="thick">
        <color rgb="001BAF7A"/>
      </left>
      <right style="thin">
        <color rgb="00C8C8C8"/>
      </right>
      <top/>
      <bottom style="thin">
        <color rgb="00C8C8C8"/>
      </bottom>
      <diagonal/>
    </border>
    <border>
      <left style="thick">
        <color rgb="002A78D6"/>
      </left>
      <right/>
      <top/>
      <bottom/>
      <diagonal/>
    </border>
    <border>
      <left style="thick">
        <color rgb="002A78D6"/>
      </left>
      <right style="thin">
        <color rgb="00C8C8C8"/>
      </right>
      <top/>
      <bottom/>
      <diagonal/>
    </border>
    <border>
      <left style="thick">
        <color rgb="002A78D6"/>
      </left>
      <right style="thin">
        <color rgb="00C8C8C8"/>
      </right>
      <top/>
      <bottom style="thin">
        <color rgb="00C8C8C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2A78D6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B6834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1BAF7A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ck">
        <color rgb="FFEDA100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ck">
        <color rgb="FFE87BA4"/>
      </left>
      <right style="thin">
        <color rgb="FFCCCCCC"/>
      </right>
      <top style="medium">
        <color rgb="FF555555"/>
      </top>
      <bottom style="thin">
        <color rgb="FFCCCCCC"/>
      </bottom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ck">
        <color rgb="FFEDA100"/>
      </left>
      <right/>
      <top/>
      <bottom/>
      <diagonal/>
    </border>
    <border>
      <left style="thick">
        <color rgb="FFEDA100"/>
      </left>
      <right style="thin">
        <color rgb="FFCCCCCC"/>
      </right>
      <top/>
      <bottom/>
      <diagonal/>
    </border>
    <border>
      <left style="thick">
        <color rgb="FFEDA100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ck">
        <color rgb="FF2A78D6"/>
      </left>
      <right/>
      <top/>
      <bottom/>
      <diagonal/>
    </border>
    <border>
      <left style="thick">
        <color rgb="FF2A78D6"/>
      </left>
      <right style="thin">
        <color rgb="FFCCCCCC"/>
      </right>
      <top/>
      <bottom/>
      <diagonal/>
    </border>
    <border>
      <left style="thick">
        <color rgb="FF2A78D6"/>
      </left>
      <right style="thin">
        <color rgb="FFCCCCCC"/>
      </right>
      <top/>
      <bottom style="thin">
        <color rgb="FFCCCCCC"/>
      </bottom>
      <diagonal/>
    </border>
    <border>
      <left style="thick">
        <color rgb="FF1BAF7A"/>
      </left>
      <right/>
      <top/>
      <bottom/>
      <diagonal/>
    </border>
    <border>
      <left style="thick">
        <color rgb="FF1BAF7A"/>
      </left>
      <right style="thin">
        <color rgb="FFCCCCCC"/>
      </right>
      <top/>
      <bottom/>
      <diagonal/>
    </border>
    <border>
      <left style="thick">
        <color rgb="FF1BAF7A"/>
      </left>
      <right style="thin">
        <color rgb="FFCCCCCC"/>
      </right>
      <top/>
      <bottom style="thin">
        <color rgb="FFCCCCCC"/>
      </bottom>
      <diagonal/>
    </border>
    <border>
      <left/>
      <right/>
      <top style="medium">
        <color rgb="FF555555"/>
      </top>
      <bottom/>
      <diagonal/>
    </border>
    <border>
      <left/>
      <right style="thin">
        <color rgb="FFCCCCCC"/>
      </right>
      <top style="medium">
        <color rgb="FF555555"/>
      </top>
      <bottom/>
      <diagonal/>
    </border>
    <border>
      <left/>
      <right/>
      <top style="medium">
        <color rgb="FF555555"/>
      </top>
      <bottom style="thin">
        <color rgb="FFCCCCCC"/>
      </bottom>
      <diagonal/>
    </border>
    <border>
      <left/>
      <right style="thin">
        <color rgb="FFCCCCCC"/>
      </right>
      <top style="medium">
        <color rgb="FF555555"/>
      </top>
      <bottom style="thin">
        <color rgb="FFCCCCCC"/>
      </bottom>
      <diagonal/>
    </border>
    <border>
      <left style="thick">
        <color rgb="FFEB6834"/>
      </left>
      <right/>
      <top/>
      <bottom/>
      <diagonal/>
    </border>
    <border>
      <left style="thick">
        <color rgb="FFEB6834"/>
      </left>
      <right style="thin">
        <color rgb="FFCCCCCC"/>
      </right>
      <top/>
      <bottom/>
      <diagonal/>
    </border>
    <border>
      <left style="thick">
        <color rgb="FFEB6834"/>
      </left>
      <right style="thin">
        <color rgb="FFCCCCCC"/>
      </right>
      <top/>
      <bottom style="thin">
        <color rgb="FFCCCCCC"/>
      </bottom>
      <diagonal/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8" borderId="3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3" fillId="3" borderId="2" applyAlignment="1" pivotButton="0" quotePrefix="0" xfId="0">
      <alignment vertical="top" wrapText="1"/>
    </xf>
    <xf numFmtId="0" fontId="0" fillId="8" borderId="4" pivotButton="0" quotePrefix="0" xfId="0"/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9" borderId="5" applyAlignment="1" pivotButton="0" quotePrefix="0" xfId="0">
      <alignment vertical="top" wrapText="1"/>
    </xf>
    <xf numFmtId="0" fontId="2" fillId="4" borderId="2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0" fillId="9" borderId="6" pivotButton="0" quotePrefix="0" xfId="0"/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10" borderId="7" applyAlignment="1" pivotButton="0" quotePrefix="0" xfId="0">
      <alignment vertical="top" wrapText="1"/>
    </xf>
    <xf numFmtId="0" fontId="2" fillId="5" borderId="2" applyAlignment="1" pivotButton="0" quotePrefix="0" xfId="0">
      <alignment vertical="top" wrapText="1"/>
    </xf>
    <xf numFmtId="0" fontId="3" fillId="5" borderId="2" applyAlignment="1" pivotButton="0" quotePrefix="0" xfId="0">
      <alignment vertical="top" wrapText="1"/>
    </xf>
    <xf numFmtId="0" fontId="0" fillId="10" borderId="8" pivotButton="0" quotePrefix="0" xfId="0"/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4" fillId="11" borderId="9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  <xf numFmtId="0" fontId="0" fillId="11" borderId="10" pivotButton="0" quotePrefix="0" xfId="0"/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4" fillId="12" borderId="1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3" fillId="7" borderId="2" applyAlignment="1" pivotButton="0" quotePrefix="0" xfId="0">
      <alignment vertical="top" wrapText="1"/>
    </xf>
    <xf numFmtId="0" fontId="2" fillId="13" borderId="1" applyAlignment="1" pivotButton="0" quotePrefix="0" xfId="0">
      <alignment vertical="top" wrapText="1"/>
    </xf>
    <xf numFmtId="0" fontId="3" fillId="13" borderId="1" applyAlignment="1" pivotButton="0" quotePrefix="0" xfId="0">
      <alignment vertical="top" wrapText="1"/>
    </xf>
    <xf numFmtId="0" fontId="2" fillId="1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8" borderId="4" pivotButton="0" quotePrefix="0" xfId="0"/>
    <xf numFmtId="0" fontId="5" fillId="0" borderId="0" pivotButton="0" quotePrefix="0" xfId="0"/>
    <xf numFmtId="0" fontId="2" fillId="9" borderId="6" pivotButton="0" quotePrefix="0" xfId="0"/>
    <xf numFmtId="0" fontId="2" fillId="10" borderId="8" pivotButton="0" quotePrefix="0" xfId="0"/>
    <xf numFmtId="0" fontId="2" fillId="11" borderId="10" pivotButton="0" quotePrefix="0" xfId="0"/>
    <xf numFmtId="0" fontId="2" fillId="12" borderId="1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18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14" borderId="25" applyAlignment="1" pivotButton="0" quotePrefix="0" xfId="0">
      <alignment horizontal="left" vertical="center" wrapText="1"/>
    </xf>
    <xf numFmtId="0" fontId="6" fillId="14" borderId="25" applyAlignment="1" pivotButton="0" quotePrefix="0" xfId="0">
      <alignment horizontal="center" vertical="center"/>
    </xf>
    <xf numFmtId="0" fontId="6" fillId="14" borderId="25" applyAlignment="1" pivotButton="0" quotePrefix="0" xfId="0">
      <alignment horizontal="center" vertical="center" wrapText="1"/>
    </xf>
    <xf numFmtId="0" fontId="7" fillId="15" borderId="26" applyAlignment="1" pivotButton="0" quotePrefix="0" xfId="0">
      <alignment horizontal="center" vertical="top" wrapText="1"/>
    </xf>
    <xf numFmtId="0" fontId="8" fillId="20" borderId="27" applyAlignment="1" pivotButton="0" quotePrefix="0" xfId="0">
      <alignment horizontal="left" vertical="top" wrapText="1"/>
    </xf>
    <xf numFmtId="0" fontId="7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left" vertical="top" wrapText="1"/>
    </xf>
    <xf numFmtId="0" fontId="8" fillId="15" borderId="26" applyAlignment="1" pivotButton="0" quotePrefix="0" xfId="0">
      <alignment horizontal="center" vertical="top" wrapText="1"/>
    </xf>
    <xf numFmtId="0" fontId="0" fillId="15" borderId="26" pivotButton="0" quotePrefix="0" xfId="0"/>
    <xf numFmtId="0" fontId="3" fillId="15" borderId="26" applyAlignment="1" pivotButton="0" quotePrefix="0" xfId="0">
      <alignment horizontal="center" vertical="top"/>
    </xf>
    <xf numFmtId="0" fontId="7" fillId="15" borderId="25" applyAlignment="1" pivotButton="0" quotePrefix="0" xfId="0">
      <alignment horizontal="center" vertical="top" wrapText="1"/>
    </xf>
    <xf numFmtId="0" fontId="0" fillId="20" borderId="28" pivotButton="0" quotePrefix="0" xfId="0"/>
    <xf numFmtId="0" fontId="7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left" vertical="top" wrapText="1"/>
    </xf>
    <xf numFmtId="0" fontId="8" fillId="15" borderId="25" applyAlignment="1" pivotButton="0" quotePrefix="0" xfId="0">
      <alignment horizontal="center" vertical="top" wrapText="1"/>
    </xf>
    <xf numFmtId="0" fontId="0" fillId="15" borderId="25" pivotButton="0" quotePrefix="0" xfId="0"/>
    <xf numFmtId="0" fontId="3" fillId="15" borderId="25" applyAlignment="1" pivotButton="0" quotePrefix="0" xfId="0">
      <alignment horizontal="center" vertical="top"/>
    </xf>
    <xf numFmtId="0" fontId="7" fillId="16" borderId="26" applyAlignment="1" pivotButton="0" quotePrefix="0" xfId="0">
      <alignment horizontal="center" vertical="top" wrapText="1"/>
    </xf>
    <xf numFmtId="0" fontId="8" fillId="21" borderId="29" applyAlignment="1" pivotButton="0" quotePrefix="0" xfId="0">
      <alignment horizontal="left" vertical="top" wrapText="1"/>
    </xf>
    <xf numFmtId="0" fontId="7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left" vertical="top" wrapText="1"/>
    </xf>
    <xf numFmtId="0" fontId="8" fillId="16" borderId="26" applyAlignment="1" pivotButton="0" quotePrefix="0" xfId="0">
      <alignment horizontal="center" vertical="top" wrapText="1"/>
    </xf>
    <xf numFmtId="0" fontId="0" fillId="16" borderId="26" pivotButton="0" quotePrefix="0" xfId="0"/>
    <xf numFmtId="0" fontId="3" fillId="16" borderId="26" applyAlignment="1" pivotButton="0" quotePrefix="0" xfId="0">
      <alignment horizontal="center" vertical="top"/>
    </xf>
    <xf numFmtId="0" fontId="7" fillId="16" borderId="25" applyAlignment="1" pivotButton="0" quotePrefix="0" xfId="0">
      <alignment horizontal="center" vertical="top" wrapText="1"/>
    </xf>
    <xf numFmtId="0" fontId="0" fillId="21" borderId="30" pivotButton="0" quotePrefix="0" xfId="0"/>
    <xf numFmtId="0" fontId="7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left" vertical="top" wrapText="1"/>
    </xf>
    <xf numFmtId="0" fontId="8" fillId="16" borderId="25" applyAlignment="1" pivotButton="0" quotePrefix="0" xfId="0">
      <alignment horizontal="center" vertical="top" wrapText="1"/>
    </xf>
    <xf numFmtId="0" fontId="0" fillId="16" borderId="25" pivotButton="0" quotePrefix="0" xfId="0"/>
    <xf numFmtId="0" fontId="3" fillId="16" borderId="25" applyAlignment="1" pivotButton="0" quotePrefix="0" xfId="0">
      <alignment horizontal="center" vertical="top"/>
    </xf>
    <xf numFmtId="0" fontId="7" fillId="17" borderId="26" applyAlignment="1" pivotButton="0" quotePrefix="0" xfId="0">
      <alignment horizontal="center" vertical="top" wrapText="1"/>
    </xf>
    <xf numFmtId="0" fontId="8" fillId="22" borderId="31" applyAlignment="1" pivotButton="0" quotePrefix="0" xfId="0">
      <alignment horizontal="left" vertical="top" wrapText="1"/>
    </xf>
    <xf numFmtId="0" fontId="7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left" vertical="top" wrapText="1"/>
    </xf>
    <xf numFmtId="0" fontId="8" fillId="17" borderId="26" applyAlignment="1" pivotButton="0" quotePrefix="0" xfId="0">
      <alignment horizontal="center" vertical="top" wrapText="1"/>
    </xf>
    <xf numFmtId="0" fontId="0" fillId="17" borderId="26" pivotButton="0" quotePrefix="0" xfId="0"/>
    <xf numFmtId="0" fontId="3" fillId="17" borderId="26" applyAlignment="1" pivotButton="0" quotePrefix="0" xfId="0">
      <alignment horizontal="center" vertical="top"/>
    </xf>
    <xf numFmtId="0" fontId="7" fillId="17" borderId="25" applyAlignment="1" pivotButton="0" quotePrefix="0" xfId="0">
      <alignment horizontal="center" vertical="top" wrapText="1"/>
    </xf>
    <xf numFmtId="0" fontId="0" fillId="22" borderId="32" pivotButton="0" quotePrefix="0" xfId="0"/>
    <xf numFmtId="0" fontId="0" fillId="17" borderId="25" pivotButton="0" quotePrefix="0" xfId="0"/>
    <xf numFmtId="0" fontId="7" fillId="17" borderId="25" applyAlignment="1" pivotButton="0" quotePrefix="0" xfId="0">
      <alignment horizontal="left" vertical="top" wrapText="1"/>
    </xf>
    <xf numFmtId="0" fontId="8" fillId="17" borderId="25" applyAlignment="1" pivotButton="0" quotePrefix="0" xfId="0">
      <alignment horizontal="center" vertical="top" wrapText="1"/>
    </xf>
    <xf numFmtId="0" fontId="3" fillId="17" borderId="25" applyAlignment="1" pivotButton="0" quotePrefix="0" xfId="0">
      <alignment horizontal="center" vertical="top"/>
    </xf>
    <xf numFmtId="0" fontId="8" fillId="17" borderId="25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center" vertical="top" wrapText="1"/>
    </xf>
    <xf numFmtId="0" fontId="8" fillId="23" borderId="33" applyAlignment="1" pivotButton="0" quotePrefix="0" xfId="0">
      <alignment horizontal="left" vertical="top" wrapText="1"/>
    </xf>
    <xf numFmtId="0" fontId="7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left" vertical="top" wrapText="1"/>
    </xf>
    <xf numFmtId="0" fontId="8" fillId="18" borderId="26" applyAlignment="1" pivotButton="0" quotePrefix="0" xfId="0">
      <alignment horizontal="center" vertical="top" wrapText="1"/>
    </xf>
    <xf numFmtId="0" fontId="0" fillId="18" borderId="26" pivotButton="0" quotePrefix="0" xfId="0"/>
    <xf numFmtId="0" fontId="3" fillId="18" borderId="26" applyAlignment="1" pivotButton="0" quotePrefix="0" xfId="0">
      <alignment horizontal="center" vertical="top"/>
    </xf>
    <xf numFmtId="0" fontId="0" fillId="18" borderId="25" pivotButton="0" quotePrefix="0" xfId="0"/>
    <xf numFmtId="0" fontId="0" fillId="23" borderId="34" pivotButton="0" quotePrefix="0" xfId="0"/>
    <xf numFmtId="0" fontId="9" fillId="18" borderId="25" applyAlignment="1" pivotButton="0" quotePrefix="0" xfId="0">
      <alignment horizontal="left" vertical="top" wrapText="1"/>
    </xf>
    <xf numFmtId="0" fontId="0" fillId="19" borderId="26" pivotButton="0" quotePrefix="0" xfId="0"/>
    <xf numFmtId="0" fontId="8" fillId="24" borderId="35" applyAlignment="1" pivotButton="0" quotePrefix="0" xfId="0">
      <alignment horizontal="left" vertical="top" wrapText="1"/>
    </xf>
    <xf numFmtId="0" fontId="9" fillId="19" borderId="26" applyAlignment="1" pivotButton="0" quotePrefix="0" xfId="0">
      <alignment horizontal="left" vertical="top" wrapText="1"/>
    </xf>
    <xf numFmtId="0" fontId="9" fillId="15" borderId="25" applyAlignment="1" pivotButton="0" quotePrefix="0" xfId="0">
      <alignment horizontal="left" vertical="top" wrapText="1"/>
    </xf>
    <xf numFmtId="0" fontId="9" fillId="17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left" vertical="top" wrapText="1"/>
    </xf>
    <xf numFmtId="0" fontId="3" fillId="0" borderId="25" applyAlignment="1" pivotButton="0" quotePrefix="0" xfId="0">
      <alignment horizontal="left" vertical="top" wrapText="1"/>
    </xf>
    <xf numFmtId="0" fontId="2" fillId="0" borderId="25" applyAlignment="1" pivotButton="0" quotePrefix="0" xfId="0">
      <alignment horizontal="center" vertical="top" wrapText="1"/>
    </xf>
    <xf numFmtId="0" fontId="9" fillId="0" borderId="25" applyAlignment="1" pivotButton="0" quotePrefix="0" xfId="0">
      <alignment vertical="top" wrapText="1"/>
    </xf>
    <xf numFmtId="0" fontId="0" fillId="0" borderId="2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3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8" customWidth="1" min="4" max="4"/>
    <col width="8" customWidth="1" min="5" max="5"/>
    <col width="24" customWidth="1" min="6" max="6"/>
    <col width="36" customWidth="1" min="7" max="7"/>
    <col width="40" customWidth="1" min="8" max="8"/>
    <col hidden="1" outlineLevel="1" width="44" customWidth="1" min="9" max="9"/>
    <col hidden="1" outlineLevel="1" width="40" customWidth="1" min="10" max="10"/>
    <col hidden="1" outlineLevel="1" width="26" customWidth="1" min="11" max="11"/>
    <col width="20" customWidth="1" min="12" max="12"/>
    <col width="8" customWidth="1" min="13" max="13"/>
    <col width="13" customWidth="1" min="14" max="14"/>
    <col width="10" customWidth="1" min="15" max="15"/>
    <col width="9" customWidth="1" min="16" max="16"/>
    <col width="10" customWidth="1" min="17" max="17"/>
    <col width="36" customWidth="1" min="18" max="18"/>
  </cols>
  <sheetData>
    <row r="1" ht="24" customHeight="1">
      <c r="A1" s="50" t="inlineStr">
        <is>
          <t>S. No.</t>
        </is>
      </c>
      <c r="B1" s="50" t="inlineStr">
        <is>
          <t>KRA</t>
        </is>
      </c>
      <c r="C1" s="50" t="inlineStr">
        <is>
          <t>Metric category</t>
        </is>
      </c>
      <c r="D1" s="50" t="inlineStr">
        <is>
          <t>Product</t>
        </is>
      </c>
      <c r="E1" s="50" t="inlineStr">
        <is>
          <t>Cohort</t>
        </is>
      </c>
      <c r="F1" s="50" t="inlineStr">
        <is>
          <t>Metric name</t>
        </is>
      </c>
      <c r="G1" s="50" t="inlineStr">
        <is>
          <t>KPI name (naming convention)</t>
        </is>
      </c>
      <c r="H1" s="50" t="inlineStr">
        <is>
          <t>Description</t>
        </is>
      </c>
      <c r="I1" s="50" t="inlineStr">
        <is>
          <t>Dependent metrics</t>
        </is>
      </c>
      <c r="J1" s="50" t="inlineStr">
        <is>
          <t>Funnel → org KPI</t>
        </is>
      </c>
      <c r="K1" s="50" t="inlineStr">
        <is>
          <t>Functions that move it</t>
        </is>
      </c>
      <c r="L1" s="50" t="inlineStr">
        <is>
          <t>Lane (KPI owner)</t>
        </is>
      </c>
      <c r="M1" s="50" t="inlineStr">
        <is>
          <t>Unit</t>
        </is>
      </c>
      <c r="N1" s="50" t="inlineStr">
        <is>
          <t>Frequency</t>
        </is>
      </c>
      <c r="O1" s="51" t="inlineStr">
        <is>
          <t>FY 2026-27 — annual</t>
        </is>
      </c>
      <c r="P1" s="50" t="n"/>
      <c r="Q1" s="50" t="n"/>
      <c r="R1" s="50" t="n"/>
    </row>
    <row r="2" ht="18" customHeight="1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inlineStr">
        <is>
          <t>Budgeted</t>
        </is>
      </c>
      <c r="P2" s="50" t="inlineStr">
        <is>
          <t>Actual</t>
        </is>
      </c>
      <c r="Q2" s="50" t="inlineStr">
        <is>
          <t>Variance</t>
        </is>
      </c>
      <c r="R2" s="50" t="inlineStr">
        <is>
          <t>Remarks</t>
        </is>
      </c>
    </row>
    <row r="3" ht="84" customHeight="1">
      <c r="A3" s="53" t="n">
        <v>1</v>
      </c>
      <c r="B3" s="54" t="inlineStr">
        <is>
          <t>KRA 1 — SPI Bands
30% at ≥8.0 · 40% at 7.0–8.0 · 30% at 6.0–7.0, per batch</t>
        </is>
      </c>
      <c r="C3" s="55" t="inlineStr">
        <is>
          <t>Delivery</t>
        </is>
      </c>
      <c r="D3" s="53" t="inlineStr">
        <is>
          <t>NIAT</t>
        </is>
      </c>
      <c r="E3" s="53" t="inlineStr">
        <is>
          <t>All</t>
        </is>
      </c>
      <c r="F3" s="56" t="inlineStr">
        <is>
          <t>Program Delivery Gap  [CASCADE]</t>
        </is>
      </c>
      <c r="G3" s="55" t="inlineStr">
        <is>
          <t>Delivery:NIAT::Program Delivery Gap</t>
        </is>
      </c>
      <c r="H3" s="55" t="inlineStr">
        <is>
          <t>% deviation of the executed schedule vs the designed schedule, across the journey steps (lectures, quizzes, practice releases, assets)</t>
        </is>
      </c>
      <c r="I3" s="55" t="inlineStr">
        <is>
          <t>lecture schedule adherence · classroom-quiz conduction &amp; attendance · practice release schedule · module-quiz schedule adherence &amp; integrity · skill-assessment schedule adherence (conducted by Program Ops) · learning assets (PPT + recorded video) ready &amp; loaded ≥1 month ahead</t>
        </is>
      </c>
      <c r="J3" s="55" t="inlineStr">
        <is>
          <t>designed schedule executed → students sit quizzes &amp; assessments → SPI components computable → SPI Bands · also: delivered = approved plan → university trust → Univ Relations CSAT (feeds KRA 3)</t>
        </is>
      </c>
      <c r="K3" s="55" t="inlineStr">
        <is>
          <t>CSI team + Product Managers — counterparty: Program Ops · assets leg: Graphic Designers, Video Editors, SDIs, Packaging Teams</t>
        </is>
      </c>
      <c r="L3" s="55" t="inlineStr">
        <is>
          <t>Product Learning Experience</t>
        </is>
      </c>
      <c r="M3" s="53" t="inlineStr">
        <is>
          <t>%</t>
        </is>
      </c>
      <c r="N3" s="55" t="inlineStr">
        <is>
          <t>Monthly</t>
        </is>
      </c>
      <c r="O3" s="57" t="n">
        <v>0</v>
      </c>
      <c r="P3" s="58" t="n"/>
      <c r="Q3" s="59">
        <f>IF(AND(ISNUMBER(O3),ISNUMBER(P3)),O3-P3,"")</f>
        <v/>
      </c>
      <c r="R3" s="55" t="inlineStr">
        <is>
          <t>CASCADE — feeds KRA 1 + KRA 3, tracked once (no double count). Lower is better — variance reads inverted.</t>
        </is>
      </c>
    </row>
    <row r="4" ht="24" customHeight="1">
      <c r="A4" s="60" t="n">
        <v>2</v>
      </c>
      <c r="B4" s="61" t="n"/>
      <c r="C4" s="62" t="inlineStr">
        <is>
          <t>Business Impact</t>
        </is>
      </c>
      <c r="D4" s="60" t="inlineStr">
        <is>
          <t>NIAT</t>
        </is>
      </c>
      <c r="E4" s="60" t="inlineStr">
        <is>
          <t>B3</t>
        </is>
      </c>
      <c r="F4" s="63" t="inlineStr">
        <is>
          <t>Module-Quiz Score Bands</t>
        </is>
      </c>
      <c r="G4" s="62" t="inlineStr">
        <is>
          <t>Business Impact:NIAT:B3::% in Module-Quiz Band ≥8.0</t>
        </is>
      </c>
      <c r="H4" s="62" t="inlineStr">
        <is>
          <t>Share of the batch in each module-quiz band (10-pt scale) — one band stricter than the org bands</t>
        </is>
      </c>
      <c r="I4" s="62" t="inlineStr">
        <is>
          <t>classroom-quiz attempts &amp; performance · practice completion % · module-quiz participation 100% (SPI eligibility)</t>
        </is>
      </c>
      <c r="J4" s="62" t="inlineStr">
        <is>
          <t>quiz conducted → attempted → scores band 30/40/30 → the authored 15% lands → SPI Bands</t>
        </is>
      </c>
      <c r="K4" s="62" t="inlineStr">
        <is>
          <t>Content + Pedagogy Experts + DA/DEs</t>
        </is>
      </c>
      <c r="L4" s="62" t="inlineStr">
        <is>
          <t>Learning Domains</t>
        </is>
      </c>
      <c r="M4" s="60" t="inlineStr">
        <is>
          <t>%</t>
        </is>
      </c>
      <c r="N4" s="62" t="inlineStr">
        <is>
          <t>Monthly</t>
        </is>
      </c>
      <c r="O4" s="64" t="n">
        <v>30</v>
      </c>
      <c r="P4" s="65" t="n"/>
      <c r="Q4" s="66">
        <f>IF(AND(ISNUMBER(O4),ISNUMBER(P4)),O4-P4,"")</f>
        <v/>
      </c>
      <c r="R4" s="62" t="inlineStr">
        <is>
          <t>Four band rows per batch sum to 100; the &lt;5.0 rows target 0 (lower is better). B4 rows go live with the batch's first module quiz.</t>
        </is>
      </c>
    </row>
    <row r="5" ht="24" customHeight="1">
      <c r="A5" s="60" t="n">
        <v>3</v>
      </c>
      <c r="B5" s="61" t="n"/>
      <c r="C5" s="65" t="n"/>
      <c r="D5" s="65" t="n"/>
      <c r="E5" s="65" t="n"/>
      <c r="F5" s="65" t="n"/>
      <c r="G5" s="62" t="inlineStr">
        <is>
          <t>Business Impact:NIAT:B3::% in Module-Quiz Band 7.0–8.0</t>
        </is>
      </c>
      <c r="H5" s="65" t="n"/>
      <c r="I5" s="65" t="n"/>
      <c r="J5" s="65" t="n"/>
      <c r="K5" s="65" t="n"/>
      <c r="L5" s="65" t="n"/>
      <c r="M5" s="65" t="n"/>
      <c r="N5" s="65" t="n"/>
      <c r="O5" s="64" t="n">
        <v>40</v>
      </c>
      <c r="P5" s="65" t="n"/>
      <c r="Q5" s="66">
        <f>IF(AND(ISNUMBER(O5),ISNUMBER(P5)),O5-P5,"")</f>
        <v/>
      </c>
      <c r="R5" s="65" t="n"/>
    </row>
    <row r="6" ht="24" customHeight="1">
      <c r="A6" s="60" t="n">
        <v>4</v>
      </c>
      <c r="B6" s="61" t="n"/>
      <c r="C6" s="65" t="n"/>
      <c r="D6" s="65" t="n"/>
      <c r="E6" s="65" t="n"/>
      <c r="F6" s="65" t="n"/>
      <c r="G6" s="62" t="inlineStr">
        <is>
          <t>Business Impact:NIAT:B3::% in Module-Quiz Band 5.0–7.0</t>
        </is>
      </c>
      <c r="H6" s="65" t="n"/>
      <c r="I6" s="65" t="n"/>
      <c r="J6" s="65" t="n"/>
      <c r="K6" s="65" t="n"/>
      <c r="L6" s="65" t="n"/>
      <c r="M6" s="65" t="n"/>
      <c r="N6" s="65" t="n"/>
      <c r="O6" s="64" t="n">
        <v>30</v>
      </c>
      <c r="P6" s="65" t="n"/>
      <c r="Q6" s="66">
        <f>IF(AND(ISNUMBER(O6),ISNUMBER(P6)),O6-P6,"")</f>
        <v/>
      </c>
      <c r="R6" s="65" t="n"/>
    </row>
    <row r="7" ht="24" customHeight="1">
      <c r="A7" s="60" t="n">
        <v>5</v>
      </c>
      <c r="B7" s="61" t="n"/>
      <c r="C7" s="65" t="n"/>
      <c r="D7" s="65" t="n"/>
      <c r="E7" s="65" t="n"/>
      <c r="F7" s="65" t="n"/>
      <c r="G7" s="62" t="inlineStr">
        <is>
          <t>Business Impact:NIAT:B3::% in Module-Quiz Band &lt;5.0</t>
        </is>
      </c>
      <c r="H7" s="65" t="n"/>
      <c r="I7" s="65" t="n"/>
      <c r="J7" s="65" t="n"/>
      <c r="K7" s="65" t="n"/>
      <c r="L7" s="65" t="n"/>
      <c r="M7" s="65" t="n"/>
      <c r="N7" s="65" t="n"/>
      <c r="O7" s="64" t="n">
        <v>0</v>
      </c>
      <c r="P7" s="65" t="n"/>
      <c r="Q7" s="66">
        <f>IF(AND(ISNUMBER(O7),ISNUMBER(P7)),O7-P7,"")</f>
        <v/>
      </c>
      <c r="R7" s="65" t="n"/>
    </row>
    <row r="8" ht="24" customHeight="1">
      <c r="A8" s="60" t="n">
        <v>6</v>
      </c>
      <c r="B8" s="61" t="n"/>
      <c r="C8" s="65" t="n"/>
      <c r="D8" s="65" t="n"/>
      <c r="E8" s="60" t="inlineStr">
        <is>
          <t>B4</t>
        </is>
      </c>
      <c r="F8" s="65" t="n"/>
      <c r="G8" s="62" t="inlineStr">
        <is>
          <t>Business Impact:NIAT:B4::% in Module-Quiz Band ≥8.0</t>
        </is>
      </c>
      <c r="H8" s="65" t="n"/>
      <c r="I8" s="65" t="n"/>
      <c r="J8" s="65" t="n"/>
      <c r="K8" s="65" t="n"/>
      <c r="L8" s="65" t="n"/>
      <c r="M8" s="65" t="n"/>
      <c r="N8" s="65" t="n"/>
      <c r="O8" s="64" t="n">
        <v>30</v>
      </c>
      <c r="P8" s="65" t="n"/>
      <c r="Q8" s="66">
        <f>IF(AND(ISNUMBER(O8),ISNUMBER(P8)),O8-P8,"")</f>
        <v/>
      </c>
      <c r="R8" s="65" t="n"/>
    </row>
    <row r="9" ht="24" customHeight="1">
      <c r="A9" s="60" t="n">
        <v>7</v>
      </c>
      <c r="B9" s="61" t="n"/>
      <c r="C9" s="65" t="n"/>
      <c r="D9" s="65" t="n"/>
      <c r="E9" s="65" t="n"/>
      <c r="F9" s="65" t="n"/>
      <c r="G9" s="62" t="inlineStr">
        <is>
          <t>Business Impact:NIAT:B4::% in Module-Quiz Band 7.0–8.0</t>
        </is>
      </c>
      <c r="H9" s="65" t="n"/>
      <c r="I9" s="65" t="n"/>
      <c r="J9" s="65" t="n"/>
      <c r="K9" s="65" t="n"/>
      <c r="L9" s="65" t="n"/>
      <c r="M9" s="65" t="n"/>
      <c r="N9" s="65" t="n"/>
      <c r="O9" s="64" t="n">
        <v>40</v>
      </c>
      <c r="P9" s="65" t="n"/>
      <c r="Q9" s="66">
        <f>IF(AND(ISNUMBER(O9),ISNUMBER(P9)),O9-P9,"")</f>
        <v/>
      </c>
      <c r="R9" s="65" t="n"/>
    </row>
    <row r="10" ht="24" customHeight="1">
      <c r="A10" s="60" t="n">
        <v>8</v>
      </c>
      <c r="B10" s="61" t="n"/>
      <c r="C10" s="65" t="n"/>
      <c r="D10" s="65" t="n"/>
      <c r="E10" s="65" t="n"/>
      <c r="F10" s="65" t="n"/>
      <c r="G10" s="62" t="inlineStr">
        <is>
          <t>Business Impact:NIAT:B4::% in Module-Quiz Band 5.0–7.0</t>
        </is>
      </c>
      <c r="H10" s="65" t="n"/>
      <c r="I10" s="65" t="n"/>
      <c r="J10" s="65" t="n"/>
      <c r="K10" s="65" t="n"/>
      <c r="L10" s="65" t="n"/>
      <c r="M10" s="65" t="n"/>
      <c r="N10" s="65" t="n"/>
      <c r="O10" s="64" t="n">
        <v>30</v>
      </c>
      <c r="P10" s="65" t="n"/>
      <c r="Q10" s="66">
        <f>IF(AND(ISNUMBER(O10),ISNUMBER(P10)),O10-P10,"")</f>
        <v/>
      </c>
      <c r="R10" s="65" t="n"/>
    </row>
    <row r="11" ht="24" customHeight="1">
      <c r="A11" s="60" t="n">
        <v>9</v>
      </c>
      <c r="B11" s="61" t="n"/>
      <c r="C11" s="65" t="n"/>
      <c r="D11" s="65" t="n"/>
      <c r="E11" s="65" t="n"/>
      <c r="F11" s="65" t="n"/>
      <c r="G11" s="62" t="inlineStr">
        <is>
          <t>Business Impact:NIAT:B4::% in Module-Quiz Band &lt;5.0</t>
        </is>
      </c>
      <c r="H11" s="65" t="n"/>
      <c r="I11" s="65" t="n"/>
      <c r="J11" s="65" t="n"/>
      <c r="K11" s="65" t="n"/>
      <c r="L11" s="65" t="n"/>
      <c r="M11" s="65" t="n"/>
      <c r="N11" s="65" t="n"/>
      <c r="O11" s="64" t="n">
        <v>0</v>
      </c>
      <c r="P11" s="65" t="n"/>
      <c r="Q11" s="66">
        <f>IF(AND(ISNUMBER(O11),ISNUMBER(P11)),O11-P11,"")</f>
        <v/>
      </c>
      <c r="R11" s="65" t="n"/>
    </row>
    <row r="12" ht="24" customHeight="1">
      <c r="A12" s="60" t="n">
        <v>10</v>
      </c>
      <c r="B12" s="61" t="n"/>
      <c r="C12" s="62" t="inlineStr">
        <is>
          <t>Business Impact</t>
        </is>
      </c>
      <c r="D12" s="60" t="inlineStr">
        <is>
          <t>NIAT</t>
        </is>
      </c>
      <c r="E12" s="60" t="inlineStr">
        <is>
          <t>B3</t>
        </is>
      </c>
      <c r="F12" s="63" t="inlineStr">
        <is>
          <t>Content–Assessment Alignment</t>
        </is>
      </c>
      <c r="G12" s="62" t="inlineStr">
        <is>
          <t>Business Impact:NIAT:B3::Content–Assessment Alignment</t>
        </is>
      </c>
      <c r="H12" s="62" t="inlineStr">
        <is>
          <t>|avg module-quiz score − avg skill-assessment score| — the taught-vs-tested gap</t>
        </is>
      </c>
      <c r="I12" s="62" t="inlineStr">
        <is>
          <t>assessment blueprints visible · ≥3-month change notice honored · content coverage of the blueprint</t>
        </is>
      </c>
      <c r="J12" s="62" t="inlineStr">
        <is>
          <t>blueprints visible → content teaches what's tested → quiz scores ≈ assessment scores → the 75% lands → SPI Bands</t>
        </is>
      </c>
      <c r="K12" s="62" t="inlineStr">
        <is>
          <t>Content + Pedagogy Experts + DA/DEs</t>
        </is>
      </c>
      <c r="L12" s="62" t="inlineStr">
        <is>
          <t>Learning Domains</t>
        </is>
      </c>
      <c r="M12" s="60" t="inlineStr">
        <is>
          <t>pp</t>
        </is>
      </c>
      <c r="N12" s="62" t="inlineStr">
        <is>
          <t>Per cycle</t>
        </is>
      </c>
      <c r="O12" s="64" t="n">
        <v>10</v>
      </c>
      <c r="P12" s="65" t="n"/>
      <c r="Q12" s="66">
        <f>IF(AND(ISNUMBER(O12),ISNUMBER(P12)),O12-P12,"")</f>
        <v/>
      </c>
      <c r="R12" s="62" t="inlineStr">
        <is>
          <t>Lower is better — variance reads inverted. Tightens to ≤5 pp after 3 clean cycles (cycle = semester).</t>
        </is>
      </c>
    </row>
    <row r="13" ht="24" customHeight="1">
      <c r="A13" s="60" t="n">
        <v>11</v>
      </c>
      <c r="B13" s="61" t="n"/>
      <c r="C13" s="65" t="n"/>
      <c r="D13" s="65" t="n"/>
      <c r="E13" s="60" t="inlineStr">
        <is>
          <t>B4</t>
        </is>
      </c>
      <c r="F13" s="65" t="n"/>
      <c r="G13" s="62" t="inlineStr">
        <is>
          <t>Business Impact:NIAT:B4::Content–Assessment Alignment</t>
        </is>
      </c>
      <c r="H13" s="65" t="n"/>
      <c r="I13" s="65" t="n"/>
      <c r="J13" s="65" t="n"/>
      <c r="K13" s="65" t="n"/>
      <c r="L13" s="65" t="n"/>
      <c r="M13" s="65" t="n"/>
      <c r="N13" s="65" t="n"/>
      <c r="O13" s="64" t="n">
        <v>10</v>
      </c>
      <c r="P13" s="65" t="n"/>
      <c r="Q13" s="66">
        <f>IF(AND(ISNUMBER(O13),ISNUMBER(P13)),O13-P13,"")</f>
        <v/>
      </c>
      <c r="R13" s="65" t="n"/>
    </row>
    <row r="14" ht="45" customHeight="1">
      <c r="A14" s="60" t="n">
        <v>12</v>
      </c>
      <c r="B14" s="61" t="n"/>
      <c r="C14" s="62" t="inlineStr">
        <is>
          <t>Business Impact</t>
        </is>
      </c>
      <c r="D14" s="60" t="inlineStr">
        <is>
          <t>All</t>
        </is>
      </c>
      <c r="E14" s="60" t="inlineStr">
        <is>
          <t>All</t>
        </is>
      </c>
      <c r="F14" s="63" t="inlineStr">
        <is>
          <t>Engagement-Matrix Cell Migration  [SAMPLE]</t>
        </is>
      </c>
      <c r="G14" s="62" t="inlineStr">
        <is>
          <t>Business Impact:All::% Learners in HE×HV Cell</t>
        </is>
      </c>
      <c r="H14" s="62" t="inlineStr">
        <is>
          <t>% of learners in the HE×HV (high-effort × high-value) cell; the full 3×3 matrix stays diagnostic</t>
        </is>
      </c>
      <c r="I14" s="62" t="inlineStr">
        <is>
          <t>capability adoption (tutor, revision, leaderboard, adaptive) · LE effort signals · value signals</t>
        </is>
      </c>
      <c r="J14" s="62" t="inlineStr">
        <is>
          <t>capabilities adopted → effort &amp; value rise → cells migrate up → scores follow → SPI Bands (leading)</t>
        </is>
      </c>
      <c r="K14" s="62" t="inlineStr">
        <is>
          <t>Product Managers + Engineering + DA/DEs</t>
        </is>
      </c>
      <c r="L14" s="62" t="inlineStr">
        <is>
          <t>Learning Platform</t>
        </is>
      </c>
      <c r="M14" s="60" t="inlineStr">
        <is>
          <t>%</t>
        </is>
      </c>
      <c r="N14" s="62" t="inlineStr">
        <is>
          <t>Per cycle · read monthly</t>
        </is>
      </c>
      <c r="O14" s="64" t="n">
        <v>10</v>
      </c>
      <c r="P14" s="65" t="n"/>
      <c r="Q14" s="66">
        <f>IF(AND(ISNUMBER(O14),ISNUMBER(P14)),O14-P14,"")</f>
        <v/>
      </c>
      <c r="R14" s="62" t="inlineStr">
        <is>
          <t>SAMPLE — from ~4% baseline; budget confirms when the LE dashboard lands. Alt pick: M×M 10 → 20.</t>
        </is>
      </c>
    </row>
    <row r="15" ht="30" customHeight="1">
      <c r="A15" s="65" t="n"/>
      <c r="B15" s="61" t="n"/>
      <c r="C15" s="108" t="inlineStr">
        <is>
          <t>Summative &amp; Formative Achievement — ORG scoreboard, tracked not owned: same 30/40/30 on assessment scores, per batch. Steps 1–3 held → assessments run → the 75% lands → SPI Bands.</t>
        </is>
      </c>
      <c r="D15" s="65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</row>
    <row r="16" ht="32" customHeight="1">
      <c r="A16" s="67" t="n">
        <v>13</v>
      </c>
      <c r="B16" s="68" t="inlineStr">
        <is>
          <t>KRA 2 — Academics CSAT
4.5 / 5</t>
        </is>
      </c>
      <c r="C16" s="69" t="inlineStr">
        <is>
          <t>Quality &amp; Reliability</t>
        </is>
      </c>
      <c r="D16" s="67" t="inlineStr">
        <is>
          <t>All</t>
        </is>
      </c>
      <c r="E16" s="67" t="inlineStr">
        <is>
          <t>All</t>
        </is>
      </c>
      <c r="F16" s="70" t="inlineStr">
        <is>
          <t>Content Issue Resolution Efficiency</t>
        </is>
      </c>
      <c r="G16" s="69" t="inlineStr">
        <is>
          <t>Quality &amp; Reliability:All::Content Issue Resolution Efficiency</t>
        </is>
      </c>
      <c r="H16" s="69" t="inlineStr">
        <is>
          <t>% of content issues resolved within the 2-day TAT — resolved = fix live + students notified</t>
        </is>
      </c>
      <c r="I16" s="69" t="inlineStr">
        <is>
          <t>issue intake &amp; triage · fix TAT 48 h · student notified</t>
        </is>
      </c>
      <c r="J16" s="69" t="inlineStr">
        <is>
          <t>issue reported → fixed in 48 h → trust in content → Academics CSAT</t>
        </is>
      </c>
      <c r="K16" s="69" t="inlineStr">
        <is>
          <t>Content + Engineering</t>
        </is>
      </c>
      <c r="L16" s="69" t="inlineStr">
        <is>
          <t>Agentic Content Platform</t>
        </is>
      </c>
      <c r="M16" s="67" t="inlineStr">
        <is>
          <t>%</t>
        </is>
      </c>
      <c r="N16" s="69" t="inlineStr">
        <is>
          <t>Monthly</t>
        </is>
      </c>
      <c r="O16" s="71" t="n">
        <v>80</v>
      </c>
      <c r="P16" s="72" t="n"/>
      <c r="Q16" s="73">
        <f>IF(AND(ISNUMBER(O16),ISNUMBER(P16)),O16-P16,"")</f>
        <v/>
      </c>
      <c r="R16" s="69" t="inlineStr">
        <is>
          <t>The % climbs over the year; the 2-day TAT itself doesn't move.</t>
        </is>
      </c>
    </row>
    <row r="17" ht="45" customHeight="1">
      <c r="A17" s="74" t="n">
        <v>14</v>
      </c>
      <c r="B17" s="75" t="n"/>
      <c r="C17" s="76" t="inlineStr">
        <is>
          <t>Quality &amp; Reliability</t>
        </is>
      </c>
      <c r="D17" s="74" t="inlineStr">
        <is>
          <t>All</t>
        </is>
      </c>
      <c r="E17" s="74" t="inlineStr">
        <is>
          <t>All</t>
        </is>
      </c>
      <c r="F17" s="77" t="inlineStr">
        <is>
          <t>Content Issue Recurrence</t>
        </is>
      </c>
      <c r="G17" s="76" t="inlineStr">
        <is>
          <t>Quality &amp; Reliability:All::Content Issue Recurrence</t>
        </is>
      </c>
      <c r="H17" s="76" t="inlineStr">
        <is>
          <t>% of resolved content issues that recur — root-cause close: instance fixed · artifact changed · tripwire added · broadcast sent</t>
        </is>
      </c>
      <c r="I17" s="76" t="inlineStr">
        <is>
          <t>root-cause close — 4-checkbox: instance fixed · artifact changed · tripwire added · broadcast sent</t>
        </is>
      </c>
      <c r="J17" s="76" t="inlineStr">
        <is>
          <t>fixed once → closed at root cause → never twice → trust → Academics CSAT</t>
        </is>
      </c>
      <c r="K17" s="76" t="inlineStr">
        <is>
          <t>Content + Engineering</t>
        </is>
      </c>
      <c r="L17" s="76" t="inlineStr">
        <is>
          <t>Agentic Content Platform</t>
        </is>
      </c>
      <c r="M17" s="74" t="inlineStr">
        <is>
          <t>%</t>
        </is>
      </c>
      <c r="N17" s="76" t="inlineStr">
        <is>
          <t>Quarterly</t>
        </is>
      </c>
      <c r="O17" s="78" t="n">
        <v>2</v>
      </c>
      <c r="P17" s="79" t="n"/>
      <c r="Q17" s="80">
        <f>IF(AND(ISNUMBER(O17),ISNUMBER(P17)),O17-P17,"")</f>
        <v/>
      </c>
      <c r="R17" s="76" t="inlineStr">
        <is>
          <t>Lower is better — variance reads inverted.</t>
        </is>
      </c>
    </row>
    <row r="18" ht="32" customHeight="1">
      <c r="A18" s="74" t="n">
        <v>15</v>
      </c>
      <c r="B18" s="75" t="n"/>
      <c r="C18" s="76" t="inlineStr">
        <is>
          <t>Business Impact</t>
        </is>
      </c>
      <c r="D18" s="74" t="inlineStr">
        <is>
          <t>All</t>
        </is>
      </c>
      <c r="E18" s="74" t="inlineStr">
        <is>
          <t>All</t>
        </is>
      </c>
      <c r="F18" s="77" t="inlineStr">
        <is>
          <t>Learning Environment Satisfaction</t>
        </is>
      </c>
      <c r="G18" s="76" t="inlineStr">
        <is>
          <t>Business Impact:All::Learning Environment Satisfaction</t>
        </is>
      </c>
      <c r="H18" s="76" t="inlineStr">
        <is>
          <t>Student rating of the learning environment — driven by the four platform rows below</t>
        </is>
      </c>
      <c r="I18" s="76" t="inlineStr">
        <is>
          <t>driven by the four rows below</t>
        </is>
      </c>
      <c r="J18" s="76" t="inlineStr">
        <is>
          <t>platform reliable &amp; fast → rating ≥4.5 → Academics CSAT</t>
        </is>
      </c>
      <c r="K18" s="76" t="inlineStr">
        <is>
          <t>Engineering</t>
        </is>
      </c>
      <c r="L18" s="76" t="inlineStr">
        <is>
          <t>Developer Platform</t>
        </is>
      </c>
      <c r="M18" s="74" t="inlineStr">
        <is>
          <t>score /5</t>
        </is>
      </c>
      <c r="N18" s="76" t="inlineStr">
        <is>
          <t>Monthly</t>
        </is>
      </c>
      <c r="O18" s="78" t="n">
        <v>4.5</v>
      </c>
      <c r="P18" s="79" t="n"/>
      <c r="Q18" s="80">
        <f>IF(AND(ISNUMBER(O18),ISNUMBER(P18)),O18-P18,"")</f>
        <v/>
      </c>
      <c r="R18" s="76" t="inlineStr"/>
    </row>
    <row r="19" ht="32" customHeight="1">
      <c r="A19" s="74" t="n">
        <v>16</v>
      </c>
      <c r="B19" s="75" t="n"/>
      <c r="C19" s="76" t="inlineStr">
        <is>
          <t>Quality &amp; Reliability</t>
        </is>
      </c>
      <c r="D19" s="74" t="inlineStr">
        <is>
          <t>All</t>
        </is>
      </c>
      <c r="E19" s="74" t="inlineStr">
        <is>
          <t>All</t>
        </is>
      </c>
      <c r="F19" s="77" t="inlineStr">
        <is>
          <t>Availability &amp; Saturation Detection</t>
        </is>
      </c>
      <c r="G19" s="76" t="inlineStr">
        <is>
          <t>Quality &amp; Reliability:All::Availability &amp; Saturation Detection</t>
        </is>
      </c>
      <c r="H19" s="76" t="inlineStr">
        <is>
          <t>% of critical-service saturations alerted, detection ≤10 min (IDE, compiler, workflows)</t>
        </is>
      </c>
      <c r="I19" s="76" t="inlineStr">
        <is>
          <t>critical services (IDE, compiler, workflows) · alert thresholds · detection time</t>
        </is>
      </c>
      <c r="J19" s="76" t="inlineStr">
        <is>
          <t>saturation detected ≤10 min → fixed before students feel it → LES → Academics CSAT</t>
        </is>
      </c>
      <c r="K19" s="76" t="inlineStr">
        <is>
          <t>Engineering</t>
        </is>
      </c>
      <c r="L19" s="76" t="inlineStr">
        <is>
          <t>Developer Platform</t>
        </is>
      </c>
      <c r="M19" s="74" t="inlineStr">
        <is>
          <t>%</t>
        </is>
      </c>
      <c r="N19" s="76" t="inlineStr">
        <is>
          <t>Monthly</t>
        </is>
      </c>
      <c r="O19" s="78" t="n">
        <v>100</v>
      </c>
      <c r="P19" s="79" t="n"/>
      <c r="Q19" s="80">
        <f>IF(AND(ISNUMBER(O19),ISNUMBER(P19)),O19-P19,"")</f>
        <v/>
      </c>
      <c r="R19" s="76" t="inlineStr"/>
    </row>
    <row r="20" ht="32" customHeight="1">
      <c r="A20" s="74" t="n">
        <v>17</v>
      </c>
      <c r="B20" s="75" t="n"/>
      <c r="C20" s="76" t="inlineStr">
        <is>
          <t>Quality &amp; Reliability</t>
        </is>
      </c>
      <c r="D20" s="74" t="inlineStr">
        <is>
          <t>All</t>
        </is>
      </c>
      <c r="E20" s="74" t="inlineStr">
        <is>
          <t>All</t>
        </is>
      </c>
      <c r="F20" s="77" t="inlineStr">
        <is>
          <t>Tail-Latency User Impact</t>
        </is>
      </c>
      <c r="G20" s="76" t="inlineStr">
        <is>
          <t>Quality &amp; Reliability:All::Tail-Latency User Impact</t>
        </is>
      </c>
      <c r="H20" s="76" t="inlineStr">
        <is>
          <t>% of students beyond P99 latency limits — IDE launch / submit / publish &lt;60 s</t>
        </is>
      </c>
      <c r="I20" s="76" t="inlineStr">
        <is>
          <t>IDE launch / submit / publish P99 &lt;60 s · compiler per-language limits</t>
        </is>
      </c>
      <c r="J20" s="76" t="inlineStr">
        <is>
          <t>P99 within limits → coding feels instant → LES → Academics CSAT</t>
        </is>
      </c>
      <c r="K20" s="76" t="inlineStr">
        <is>
          <t>Engineering</t>
        </is>
      </c>
      <c r="L20" s="76" t="inlineStr">
        <is>
          <t>Developer Platform</t>
        </is>
      </c>
      <c r="M20" s="74" t="inlineStr">
        <is>
          <t>%</t>
        </is>
      </c>
      <c r="N20" s="76" t="inlineStr">
        <is>
          <t>Monthly</t>
        </is>
      </c>
      <c r="O20" s="78" t="n">
        <v>0</v>
      </c>
      <c r="P20" s="79" t="n"/>
      <c r="Q20" s="80">
        <f>IF(AND(ISNUMBER(O20),ISNUMBER(P20)),O20-P20,"")</f>
        <v/>
      </c>
      <c r="R20" s="76" t="inlineStr">
        <is>
          <t>Lower is better — variance reads inverted.</t>
        </is>
      </c>
    </row>
    <row r="21" ht="32" customHeight="1">
      <c r="A21" s="74" t="n">
        <v>18</v>
      </c>
      <c r="B21" s="75" t="n"/>
      <c r="C21" s="76" t="inlineStr">
        <is>
          <t>Quality &amp; Reliability</t>
        </is>
      </c>
      <c r="D21" s="74" t="inlineStr">
        <is>
          <t>All</t>
        </is>
      </c>
      <c r="E21" s="74" t="inlineStr">
        <is>
          <t>All</t>
        </is>
      </c>
      <c r="F21" s="77" t="inlineStr">
        <is>
          <t>Platform Issue Resolution Efficiency</t>
        </is>
      </c>
      <c r="G21" s="76" t="inlineStr">
        <is>
          <t>Quality &amp; Reliability:All::Platform Issue Resolution Efficiency</t>
        </is>
      </c>
      <c r="H21" s="76" t="inlineStr">
        <is>
          <t>% of platform issues resolved within the 2-day TAT (internal same-day)</t>
        </is>
      </c>
      <c r="I21" s="76" t="inlineStr">
        <is>
          <t>2-day TAT (internal same-day)</t>
        </is>
      </c>
      <c r="J21" s="76" t="inlineStr">
        <is>
          <t>platform issue → fixed fast → LES → Academics CSAT</t>
        </is>
      </c>
      <c r="K21" s="76" t="inlineStr">
        <is>
          <t>Engineering</t>
        </is>
      </c>
      <c r="L21" s="76" t="inlineStr">
        <is>
          <t>Developer Platform</t>
        </is>
      </c>
      <c r="M21" s="74" t="inlineStr">
        <is>
          <t>%</t>
        </is>
      </c>
      <c r="N21" s="76" t="inlineStr">
        <is>
          <t>Monthly</t>
        </is>
      </c>
      <c r="O21" s="78" t="n">
        <v>80</v>
      </c>
      <c r="P21" s="79" t="n"/>
      <c r="Q21" s="80">
        <f>IF(AND(ISNUMBER(O21),ISNUMBER(P21)),O21-P21,"")</f>
        <v/>
      </c>
      <c r="R21" s="76" t="inlineStr"/>
    </row>
    <row r="22" ht="32" customHeight="1">
      <c r="A22" s="74" t="n">
        <v>19</v>
      </c>
      <c r="B22" s="75" t="n"/>
      <c r="C22" s="76" t="inlineStr">
        <is>
          <t>Quality &amp; Reliability</t>
        </is>
      </c>
      <c r="D22" s="74" t="inlineStr">
        <is>
          <t>All</t>
        </is>
      </c>
      <c r="E22" s="74" t="inlineStr">
        <is>
          <t>All</t>
        </is>
      </c>
      <c r="F22" s="77" t="inlineStr">
        <is>
          <t>Platform Issue Recurrence</t>
        </is>
      </c>
      <c r="G22" s="76" t="inlineStr">
        <is>
          <t>Quality &amp; Reliability:All::Platform Issue Recurrence</t>
        </is>
      </c>
      <c r="H22" s="76" t="inlineStr">
        <is>
          <t>% of resolved platform issues that recur (quarter)</t>
        </is>
      </c>
      <c r="I22" s="76" t="inlineStr">
        <is>
          <t>root-cause close</t>
        </is>
      </c>
      <c r="J22" s="76" t="inlineStr">
        <is>
          <t>fixed → never twice → LES → Academics CSAT</t>
        </is>
      </c>
      <c r="K22" s="76" t="inlineStr">
        <is>
          <t>Engineering</t>
        </is>
      </c>
      <c r="L22" s="76" t="inlineStr">
        <is>
          <t>Developer Platform</t>
        </is>
      </c>
      <c r="M22" s="74" t="inlineStr">
        <is>
          <t>%</t>
        </is>
      </c>
      <c r="N22" s="76" t="inlineStr">
        <is>
          <t>Quarterly</t>
        </is>
      </c>
      <c r="O22" s="78" t="n">
        <v>2</v>
      </c>
      <c r="P22" s="79" t="n"/>
      <c r="Q22" s="80">
        <f>IF(AND(ISNUMBER(O22),ISNUMBER(P22)),O22-P22,"")</f>
        <v/>
      </c>
      <c r="R22" s="76" t="inlineStr">
        <is>
          <t>Lower is better — variance reads inverted.</t>
        </is>
      </c>
    </row>
    <row r="23" ht="45" customHeight="1">
      <c r="A23" s="74" t="n">
        <v>20</v>
      </c>
      <c r="B23" s="75" t="n"/>
      <c r="C23" s="76" t="inlineStr">
        <is>
          <t>Business Impact</t>
        </is>
      </c>
      <c r="D23" s="74" t="inlineStr">
        <is>
          <t>NIAT</t>
        </is>
      </c>
      <c r="E23" s="74" t="inlineStr">
        <is>
          <t>All</t>
        </is>
      </c>
      <c r="F23" s="77" t="inlineStr">
        <is>
          <t>Journey Step Health</t>
        </is>
      </c>
      <c r="G23" s="76" t="inlineStr">
        <is>
          <t>Business Impact:NIAT::Journey Step Health</t>
        </is>
      </c>
      <c r="H23" s="76" t="inlineStr">
        <is>
          <t>% of the 11 journey steps green — NIAT first, then per product</t>
        </is>
      </c>
      <c r="I23" s="76" t="inlineStr">
        <is>
          <t>the 11 journey steps — attendance · class runs · classroom quiz · practice · revision · module quiz · skill assessment … (one-pager §11)</t>
        </is>
      </c>
      <c r="J23" s="76" t="inlineStr">
        <is>
          <t>capabilities configured → 11 steps green → assembled experience works → Academics CSAT (+ SPI)</t>
        </is>
      </c>
      <c r="K23" s="76" t="inlineStr">
        <is>
          <t>Product Managers + DA/DEs + CSI team</t>
        </is>
      </c>
      <c r="L23" s="76" t="inlineStr">
        <is>
          <t>Product Learning Experience</t>
        </is>
      </c>
      <c r="M23" s="74" t="inlineStr">
        <is>
          <t>%</t>
        </is>
      </c>
      <c r="N23" s="76" t="inlineStr">
        <is>
          <t>Monthly</t>
        </is>
      </c>
      <c r="O23" s="79" t="n"/>
      <c r="P23" s="79" t="n"/>
      <c r="Q23" s="80">
        <f>IF(AND(ISNUMBER(O23),ISNUMBER(P23)),O23-P23,"")</f>
        <v/>
      </c>
      <c r="R23" s="76" t="inlineStr">
        <is>
          <t>Q1 baseline sets the budget — blank until then (org-tracker precedent).</t>
        </is>
      </c>
    </row>
    <row r="24" ht="45" customHeight="1">
      <c r="A24" s="74" t="n">
        <v>21</v>
      </c>
      <c r="B24" s="75" t="n"/>
      <c r="C24" s="76" t="inlineStr">
        <is>
          <t>Quality &amp; Reliability</t>
        </is>
      </c>
      <c r="D24" s="74" t="inlineStr">
        <is>
          <t>NIAT</t>
        </is>
      </c>
      <c r="E24" s="74" t="inlineStr">
        <is>
          <t>All</t>
        </is>
      </c>
      <c r="F24" s="77" t="inlineStr">
        <is>
          <t>Product Issue Resolution Efficiency  [CROSS-DEPT]</t>
        </is>
      </c>
      <c r="G24" s="76" t="inlineStr">
        <is>
          <t>Quality &amp; Reliability:NIAT::Product Issue Resolution Efficiency</t>
        </is>
      </c>
      <c r="H24" s="76" t="inlineStr">
        <is>
          <t>% of student-reported product issues resolved within TAT — resolved across departments, we route; fix live + students notified</t>
        </is>
      </c>
      <c r="I24" s="76" t="inlineStr">
        <is>
          <t>routing to owning department · fix live · students notified (silent fixes don't count)</t>
        </is>
      </c>
      <c r="J24" s="76" t="inlineStr">
        <is>
          <t>any student issue → routed → fixed + notified → Academics CSAT</t>
        </is>
      </c>
      <c r="K24" s="76" t="inlineStr">
        <is>
          <t>Product Managers + CSI team</t>
        </is>
      </c>
      <c r="L24" s="76" t="inlineStr">
        <is>
          <t>Product Learning Experience</t>
        </is>
      </c>
      <c r="M24" s="74" t="inlineStr">
        <is>
          <t>%</t>
        </is>
      </c>
      <c r="N24" s="76" t="inlineStr">
        <is>
          <t>Monthly</t>
        </is>
      </c>
      <c r="O24" s="79" t="n"/>
      <c r="P24" s="79" t="n"/>
      <c r="Q24" s="80">
        <f>IF(AND(ISNUMBER(O24),ISNUMBER(P24)),O24-P24,"")</f>
        <v/>
      </c>
      <c r="R24" s="76" t="inlineStr">
        <is>
          <t>Q1 baseline sets the TAT target — blank until then.</t>
        </is>
      </c>
    </row>
    <row r="25" ht="32" customHeight="1">
      <c r="A25" s="74" t="n">
        <v>22</v>
      </c>
      <c r="B25" s="75" t="n"/>
      <c r="C25" s="76" t="inlineStr">
        <is>
          <t>Quality &amp; Reliability</t>
        </is>
      </c>
      <c r="D25" s="74" t="inlineStr">
        <is>
          <t>NIAT</t>
        </is>
      </c>
      <c r="E25" s="74" t="inlineStr">
        <is>
          <t>All</t>
        </is>
      </c>
      <c r="F25" s="77" t="inlineStr">
        <is>
          <t>Product Issue Recurrence  [CROSS-DEPT]</t>
        </is>
      </c>
      <c r="G25" s="76" t="inlineStr">
        <is>
          <t>Quality &amp; Reliability:NIAT::Product Issue Recurrence</t>
        </is>
      </c>
      <c r="H25" s="76" t="inlineStr">
        <is>
          <t>% of resolved product issues that recur at student-journey level (quarter)</t>
        </is>
      </c>
      <c r="I25" s="76" t="inlineStr">
        <is>
          <t>student-journey-level recurrence watch</t>
        </is>
      </c>
      <c r="J25" s="76" t="inlineStr">
        <is>
          <t>resolved once → never twice at journey level → Academics CSAT</t>
        </is>
      </c>
      <c r="K25" s="76" t="inlineStr">
        <is>
          <t>Product Managers + CSI team</t>
        </is>
      </c>
      <c r="L25" s="76" t="inlineStr">
        <is>
          <t>Product Learning Experience</t>
        </is>
      </c>
      <c r="M25" s="74" t="inlineStr">
        <is>
          <t>%</t>
        </is>
      </c>
      <c r="N25" s="76" t="inlineStr">
        <is>
          <t>Quarterly</t>
        </is>
      </c>
      <c r="O25" s="78" t="n">
        <v>2</v>
      </c>
      <c r="P25" s="79" t="n"/>
      <c r="Q25" s="80">
        <f>IF(AND(ISNUMBER(O25),ISNUMBER(P25)),O25-P25,"")</f>
        <v/>
      </c>
      <c r="R25" s="76" t="inlineStr">
        <is>
          <t>Lower is better — variance reads inverted.</t>
        </is>
      </c>
    </row>
    <row r="26" ht="24" customHeight="1">
      <c r="A26" s="81" t="n">
        <v>23</v>
      </c>
      <c r="B26" s="82" t="inlineStr">
        <is>
          <t>KRA 3 — University Relations CSAT
4.5 · 4.0 · 4.0</t>
        </is>
      </c>
      <c r="C26" s="83" t="inlineStr">
        <is>
          <t>Business Impact</t>
        </is>
      </c>
      <c r="D26" s="81" t="inlineStr">
        <is>
          <t>NIAT</t>
        </is>
      </c>
      <c r="E26" s="81" t="inlineStr">
        <is>
          <t>B3</t>
        </is>
      </c>
      <c r="F26" s="84" t="inlineStr">
        <is>
          <t>BOS Credit Acceptance</t>
        </is>
      </c>
      <c r="G26" s="83" t="inlineStr">
        <is>
          <t>Business Impact:NIAT:B3::BOS Credit Acceptance</t>
        </is>
      </c>
      <c r="H26" s="83" t="inlineStr">
        <is>
          <t>% of proposed credits accepted first-pass by the university BOS</t>
        </is>
      </c>
      <c r="I26" s="83" t="inlineStr">
        <is>
          <t>per-credit acceptance per university · curriculum finalisation (Bharath, PK Das, Visakha pending)</t>
        </is>
      </c>
      <c r="J26" s="83" t="inlineStr">
        <is>
          <t>credits proposed → accepted first pass → university leadership confidence → Univ Relations CSAT</t>
        </is>
      </c>
      <c r="K26" s="83" t="inlineStr">
        <is>
          <t>CSI team + Content</t>
        </is>
      </c>
      <c r="L26" s="83" t="inlineStr">
        <is>
          <t>Product Learning Experience</t>
        </is>
      </c>
      <c r="M26" s="81" t="inlineStr">
        <is>
          <t>%</t>
        </is>
      </c>
      <c r="N26" s="83" t="inlineStr">
        <is>
          <t>Per cycle</t>
        </is>
      </c>
      <c r="O26" s="85" t="n">
        <v>85</v>
      </c>
      <c r="P26" s="86" t="n"/>
      <c r="Q26" s="87">
        <f>IF(AND(ISNUMBER(O26),ISNUMBER(P26)),O26-P26,"")</f>
        <v/>
      </c>
      <c r="R26" s="83" t="inlineStr">
        <is>
          <t>Cohort rows split where targets differ: B3 85 · B4 90.</t>
        </is>
      </c>
    </row>
    <row r="27" ht="24" customHeight="1">
      <c r="A27" s="88" t="n">
        <v>24</v>
      </c>
      <c r="B27" s="89" t="n"/>
      <c r="C27" s="90" t="n"/>
      <c r="D27" s="90" t="n"/>
      <c r="E27" s="88" t="inlineStr">
        <is>
          <t>B4</t>
        </is>
      </c>
      <c r="F27" s="90" t="n"/>
      <c r="G27" s="91" t="inlineStr">
        <is>
          <t>Business Impact:NIAT:B4::BOS Credit Acceptance</t>
        </is>
      </c>
      <c r="H27" s="90" t="n"/>
      <c r="I27" s="90" t="n"/>
      <c r="J27" s="90" t="n"/>
      <c r="K27" s="90" t="n"/>
      <c r="L27" s="90" t="n"/>
      <c r="M27" s="90" t="n"/>
      <c r="N27" s="90" t="n"/>
      <c r="O27" s="92" t="n">
        <v>90</v>
      </c>
      <c r="P27" s="90" t="n"/>
      <c r="Q27" s="93">
        <f>IF(AND(ISNUMBER(O27),ISNUMBER(P27)),O27-P27,"")</f>
        <v/>
      </c>
      <c r="R27" s="90" t="n"/>
    </row>
    <row r="28" ht="30" customHeight="1">
      <c r="A28" s="90" t="n"/>
      <c r="B28" s="89" t="n"/>
      <c r="C28" s="109" t="inlineStr">
        <is>
          <t>Program Delivery Gap feeds this KRA too — tracked once as row 1 (CASCADE): delivered = approved plan → university trust → Univ Relations CSAT.</t>
        </is>
      </c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P28" s="90" t="n"/>
      <c r="Q28" s="90" t="n"/>
      <c r="R28" s="90" t="n"/>
    </row>
    <row r="29" ht="45" customHeight="1">
      <c r="A29" s="88" t="n">
        <v>25</v>
      </c>
      <c r="B29" s="89" t="n"/>
      <c r="C29" s="91" t="inlineStr">
        <is>
          <t>Quality &amp; Reliability</t>
        </is>
      </c>
      <c r="D29" s="88" t="inlineStr">
        <is>
          <t>NIAT</t>
        </is>
      </c>
      <c r="E29" s="88" t="inlineStr">
        <is>
          <t>—</t>
        </is>
      </c>
      <c r="F29" s="94" t="inlineStr">
        <is>
          <t>University Communication TAT</t>
        </is>
      </c>
      <c r="G29" s="91" t="inlineStr">
        <is>
          <t>Quality &amp; Reliability:NIAT::University Communication TAT</t>
        </is>
      </c>
      <c r="H29" s="91" t="inlineStr">
        <is>
          <t>% of university requests answered within TAT — ack ≤1 business day, standard 3-day TAT</t>
        </is>
      </c>
      <c r="I29" s="91" t="inlineStr">
        <is>
          <t>ack ≤1 business day · request-class TATs (standard 3 days, heavy artefacts pre-agreed) · university-request log (month 1)</t>
        </is>
      </c>
      <c r="J29" s="91" t="inlineStr">
        <is>
          <t>requests answered in TAT → partnership friction drops → Univ Relations CSAT</t>
        </is>
      </c>
      <c r="K29" s="91" t="inlineStr">
        <is>
          <t>CSI team</t>
        </is>
      </c>
      <c r="L29" s="91" t="inlineStr">
        <is>
          <t>Product Learning Experience</t>
        </is>
      </c>
      <c r="M29" s="88" t="inlineStr">
        <is>
          <t>%</t>
        </is>
      </c>
      <c r="N29" s="91" t="inlineStr">
        <is>
          <t>Monthly</t>
        </is>
      </c>
      <c r="O29" s="92" t="n">
        <v>90</v>
      </c>
      <c r="P29" s="90" t="n"/>
      <c r="Q29" s="93">
        <f>IF(AND(ISNUMBER(O29),ISNUMBER(P29)),O29-P29,"")</f>
        <v/>
      </c>
      <c r="R29" s="91" t="inlineStr">
        <is>
          <t>University-request log builds in month 1.</t>
        </is>
      </c>
    </row>
    <row r="30" ht="32" customHeight="1">
      <c r="A30" s="88" t="n">
        <v>26</v>
      </c>
      <c r="B30" s="89" t="n"/>
      <c r="C30" s="91" t="inlineStr">
        <is>
          <t>Quality &amp; Reliability</t>
        </is>
      </c>
      <c r="D30" s="88" t="inlineStr">
        <is>
          <t>NIAT</t>
        </is>
      </c>
      <c r="E30" s="88" t="inlineStr">
        <is>
          <t>All</t>
        </is>
      </c>
      <c r="F30" s="94" t="inlineStr">
        <is>
          <t>University Curriculum &amp; Framework Compliance</t>
        </is>
      </c>
      <c r="G30" s="91" t="inlineStr">
        <is>
          <t>Quality &amp; Reliability:NIAT::University Curriculum &amp; Framework Compliance</t>
        </is>
      </c>
      <c r="H30" s="91" t="inlineStr">
        <is>
          <t>% of submission cycles fully compliant — approved BOS syllabus + NHQRF / Woolf / AICTE / UGC</t>
        </is>
      </c>
      <c r="I30" s="91" t="inlineStr">
        <is>
          <t>delivery matches the approved BOS syllabus · NHQRF / Woolf / AICTE / UGC audits</t>
        </is>
      </c>
      <c r="J30" s="91" t="inlineStr">
        <is>
          <t>BOS &amp; frameworks kept → zero partnership risk → Univ Relations CSAT</t>
        </is>
      </c>
      <c r="K30" s="91" t="inlineStr">
        <is>
          <t>CSI team + Content</t>
        </is>
      </c>
      <c r="L30" s="91" t="inlineStr">
        <is>
          <t>Product Learning Experience</t>
        </is>
      </c>
      <c r="M30" s="88" t="inlineStr">
        <is>
          <t>%</t>
        </is>
      </c>
      <c r="N30" s="91" t="inlineStr">
        <is>
          <t>Per cycle</t>
        </is>
      </c>
      <c r="O30" s="92" t="n">
        <v>100</v>
      </c>
      <c r="P30" s="90" t="n"/>
      <c r="Q30" s="93">
        <f>IF(AND(ISNUMBER(O30),ISNUMBER(P30)),O30-P30,"")</f>
        <v/>
      </c>
      <c r="R30" s="91" t="inlineStr"/>
    </row>
    <row r="31" ht="32" customHeight="1">
      <c r="A31" s="95" t="n">
        <v>27</v>
      </c>
      <c r="B31" s="96" t="inlineStr">
        <is>
          <t>KRA 4 — GRIT Novice Badges
5,000</t>
        </is>
      </c>
      <c r="C31" s="97" t="inlineStr">
        <is>
          <t>Quality &amp; Reliability</t>
        </is>
      </c>
      <c r="D31" s="95" t="inlineStr">
        <is>
          <t>NIAT</t>
        </is>
      </c>
      <c r="E31" s="95" t="inlineStr">
        <is>
          <t>All</t>
        </is>
      </c>
      <c r="F31" s="98" t="inlineStr">
        <is>
          <t>Industry Update Adherence</t>
        </is>
      </c>
      <c r="G31" s="97" t="inlineStr">
        <is>
          <t>Quality &amp; Reliability:NIAT::Industry Update Adherence</t>
        </is>
      </c>
      <c r="H31" s="97" t="inlineStr">
        <is>
          <t>% of GRIT-tested skills covered in live course content — Learning–GRIT delta → 0</t>
        </is>
      </c>
      <c r="I31" s="97" t="inlineStr">
        <is>
          <t>GRIT-tested skills inventory vs live course content</t>
        </is>
      </c>
      <c r="J31" s="97" t="inlineStr">
        <is>
          <t>course content covers GRIT-tested skills → students contest-ready → Novice badges</t>
        </is>
      </c>
      <c r="K31" s="97" t="inlineStr">
        <is>
          <t>Content</t>
        </is>
      </c>
      <c r="L31" s="97" t="inlineStr">
        <is>
          <t>Learning Domains</t>
        </is>
      </c>
      <c r="M31" s="95" t="inlineStr">
        <is>
          <t>%</t>
        </is>
      </c>
      <c r="N31" s="97" t="inlineStr">
        <is>
          <t>Quarterly</t>
        </is>
      </c>
      <c r="O31" s="99" t="n">
        <v>100</v>
      </c>
      <c r="P31" s="100" t="n"/>
      <c r="Q31" s="101">
        <f>IF(AND(ISNUMBER(O31),ISNUMBER(P31)),O31-P31,"")</f>
        <v/>
      </c>
      <c r="R31" s="97" t="inlineStr"/>
    </row>
    <row r="32" ht="30" customHeight="1">
      <c r="A32" s="102" t="n"/>
      <c r="B32" s="103" t="n"/>
      <c r="C32" s="104" t="inlineStr">
        <is>
          <t>GRIT-feature KPIs — org-owned, pending definition with the GRIT owner (Sundar); rows enter the tracker when defined.</t>
        </is>
      </c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  <c r="P32" s="102" t="n"/>
      <c r="Q32" s="102" t="n"/>
      <c r="R32" s="102" t="n"/>
    </row>
    <row r="33" ht="30" customHeight="1">
      <c r="A33" s="105" t="n"/>
      <c r="B33" s="106" t="inlineStr">
        <is>
          <t>KRA 5 — Employability
B3 80% · B4 80%</t>
        </is>
      </c>
      <c r="C33" s="107" t="inlineStr">
        <is>
          <t>Employability mapping deliberately not forced — skill mastery is the long lever; rows enter the tracker when the mapping is agreed.</t>
        </is>
      </c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</row>
  </sheetData>
  <mergeCells count="59">
    <mergeCell ref="I4:I11"/>
    <mergeCell ref="H26:H27"/>
    <mergeCell ref="K4:K11"/>
    <mergeCell ref="N26:N27"/>
    <mergeCell ref="M4:M11"/>
    <mergeCell ref="K26:K27"/>
    <mergeCell ref="E8:E11"/>
    <mergeCell ref="F12:F13"/>
    <mergeCell ref="L12:L13"/>
    <mergeCell ref="B33"/>
    <mergeCell ref="N12:N13"/>
    <mergeCell ref="C1:C2"/>
    <mergeCell ref="E1:E2"/>
    <mergeCell ref="K1:K2"/>
    <mergeCell ref="M1:M2"/>
    <mergeCell ref="C26:C27"/>
    <mergeCell ref="I26:I27"/>
    <mergeCell ref="F4:F11"/>
    <mergeCell ref="C32:R32"/>
    <mergeCell ref="H4:H11"/>
    <mergeCell ref="N4:N11"/>
    <mergeCell ref="E4:E7"/>
    <mergeCell ref="C28:R28"/>
    <mergeCell ref="R4:R11"/>
    <mergeCell ref="R12:R13"/>
    <mergeCell ref="F26:F27"/>
    <mergeCell ref="C12:C13"/>
    <mergeCell ref="I12:I13"/>
    <mergeCell ref="B16:B25"/>
    <mergeCell ref="K12:K13"/>
    <mergeCell ref="M12:M13"/>
    <mergeCell ref="B1:B2"/>
    <mergeCell ref="D12:D13"/>
    <mergeCell ref="L1:L2"/>
    <mergeCell ref="C4:C11"/>
    <mergeCell ref="N1:N2"/>
    <mergeCell ref="C15:R15"/>
    <mergeCell ref="R26:R27"/>
    <mergeCell ref="J26:J27"/>
    <mergeCell ref="C33:R33"/>
    <mergeCell ref="B26:B30"/>
    <mergeCell ref="L26:L27"/>
    <mergeCell ref="H12:H13"/>
    <mergeCell ref="J12:J13"/>
    <mergeCell ref="G1:G2"/>
    <mergeCell ref="I1:I2"/>
    <mergeCell ref="O1:R1"/>
    <mergeCell ref="D4:D11"/>
    <mergeCell ref="J4:J11"/>
    <mergeCell ref="M26:M27"/>
    <mergeCell ref="L4:L11"/>
    <mergeCell ref="B31:B32"/>
    <mergeCell ref="D26:D27"/>
    <mergeCell ref="D1:D2"/>
    <mergeCell ref="B3:B15"/>
    <mergeCell ref="F1:F2"/>
    <mergeCell ref="H1:H2"/>
    <mergeCell ref="J1:J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5" customWidth="1" min="2" max="2"/>
    <col width="12" customWidth="1" min="3" max="3"/>
  </cols>
  <sheetData>
    <row r="1" ht="20" customHeight="1">
      <c r="A1" s="50" t="inlineStr">
        <is>
          <t>Function (training room)</t>
        </is>
      </c>
      <c r="B1" s="50" t="inlineStr">
        <is>
          <t>Your rows in the tracker</t>
        </is>
      </c>
      <c r="C1" s="50" t="inlineStr">
        <is>
          <t>Row count</t>
        </is>
      </c>
    </row>
    <row r="2" ht="30" customHeight="1">
      <c r="A2" s="110" t="inlineStr">
        <is>
          <t>Content</t>
        </is>
      </c>
      <c r="B2" s="111" t="inlineStr">
        <is>
          <t>Module-Quiz Score Bands · Content–Assessment Alignment · Content Issue pair (fixes) · BOS curriculum artifacts · Compliance · Industry Update Adherence</t>
        </is>
      </c>
      <c r="C2" s="112">
        <f>COUNTIF('KPI Tracker FY26-27'!$K$3:$K$33,"*Content*")</f>
        <v/>
      </c>
    </row>
    <row r="3" ht="30" customHeight="1">
      <c r="A3" s="110" t="inlineStr">
        <is>
          <t>Engineering</t>
        </is>
      </c>
      <c r="B3" s="111" t="inlineStr">
        <is>
          <t>LES + its four drivers (DP lane) · Content Issue pair tooling/routing (ACP lane) · Cell Migration build (LP lane)</t>
        </is>
      </c>
      <c r="C3" s="112">
        <f>COUNTIF('KPI Tracker FY26-27'!$K$3:$K$33,"*Engineering*")</f>
        <v/>
      </c>
    </row>
    <row r="4" ht="30" customHeight="1">
      <c r="A4" s="110" t="inlineStr">
        <is>
          <t>Product Managers</t>
        </is>
      </c>
      <c r="B4" s="111" t="inlineStr">
        <is>
          <t>Program Delivery Gap (feeds KRA 1 + 3) · Engagement-Matrix Cell Migration · Journey Step Health · Product Issue pair</t>
        </is>
      </c>
      <c r="C4" s="112">
        <f>COUNTIF('KPI Tracker FY26-27'!$K$3:$K$33,"*Product Managers*")</f>
        <v/>
      </c>
    </row>
    <row r="5" ht="30" customHeight="1">
      <c r="A5" s="110" t="inlineStr">
        <is>
          <t>Pedagogy Experts</t>
        </is>
      </c>
      <c r="B5" s="111" t="inlineStr">
        <is>
          <t>Module-Quiz Score Bands · Content–Assessment Alignment</t>
        </is>
      </c>
      <c r="C5" s="112">
        <f>COUNTIF('KPI Tracker FY26-27'!$K$3:$K$33,"*Pedagogy Experts*")</f>
        <v/>
      </c>
    </row>
    <row r="6" ht="30" customHeight="1">
      <c r="A6" s="110" t="inlineStr">
        <is>
          <t>DA/DEs</t>
        </is>
      </c>
      <c r="B6" s="111" t="inlineStr">
        <is>
          <t>score analysis (bands, alignment) · LE dashboard (cell migration) · Journey Step Health instrumentation</t>
        </is>
      </c>
      <c r="C6" s="112">
        <f>COUNTIF('KPI Tracker FY26-27'!$K$3:$K$33,"*DA/DE*")</f>
        <v/>
      </c>
    </row>
    <row r="7" ht="30" customHeight="1">
      <c r="A7" s="110" t="inlineStr">
        <is>
          <t>CSI team</t>
        </is>
      </c>
      <c r="B7" s="111" t="inlineStr">
        <is>
          <t>Program Delivery Gap (feeds KRA 1 + 3) · Journey Step Health · Product Issue pair · BOS · University Communication TAT · Compliance</t>
        </is>
      </c>
      <c r="C7" s="112">
        <f>COUNTIF('KPI Tracker FY26-27'!$K$3:$K$33,"*CSI team*")</f>
        <v/>
      </c>
    </row>
    <row r="8" ht="30" customHeight="1">
      <c r="A8" s="110" t="inlineStr">
        <is>
          <t>Asset production — Graphic Designers · Video Editors · SDIs · Packaging Teams</t>
        </is>
      </c>
      <c r="B8" s="111" t="inlineStr">
        <is>
          <t>Program Delivery Gap assets leg — learning assets (PPT + recorded video) ready &amp; loaded ≥1 month ahead</t>
        </is>
      </c>
      <c r="C8" s="112">
        <f>COUNTIF('KPI Tracker FY26-27'!$K$3:$K$33,"*Graphic Designers*")</f>
        <v/>
      </c>
    </row>
    <row r="9" ht="30" customHeight="1">
      <c r="A9" s="113" t="inlineStr">
        <is>
          <t>Counts are per metric — a band/cohort block counts once (the Functions cell spans its rows). Functions vocabulary from the HOD one-pager §2 key terms; edit column K on the tracker and the counts recompute.</t>
        </is>
      </c>
      <c r="B9" s="114" t="n"/>
      <c r="C9" s="114" t="n"/>
    </row>
  </sheetData>
  <mergeCells count="1">
    <mergeCell ref="A9:C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 ht="55" customHeight="1">
      <c r="A1" s="32" t="inlineStr">
        <is>
          <t>How to read</t>
        </is>
      </c>
      <c r="B1" s="33" t="inlineStr">
        <is>
          <t>A KRA (Key Result Area) is an org outcome NIAT is judged on — it carries the target. One merged sheet: each numbered row is one trackable KPI under the KRA it moves; muted rows are context (org-owned or pending). Training columns — Dependent metrics · Funnel · Functions — sit in a collapsed column group.</t>
        </is>
      </c>
    </row>
    <row r="2" ht="34" customHeight="1">
      <c r="A2" s="32" t="inlineStr">
        <is>
          <t>Color coding</t>
        </is>
      </c>
      <c r="B2" s="33" t="inlineStr">
        <is>
          <t>Each KRA block carries its own color family — the deep band on the KRA cell, a whisper tint on its member rows. Color is a reading aid only: identity is always in the text (palette validated for color-vision deficiency).</t>
        </is>
      </c>
    </row>
    <row r="3" ht="34" customHeight="1">
      <c r="A3" s="32" t="inlineStr">
        <is>
          <t>Lane (KPI owner)</t>
        </is>
      </c>
      <c r="B3" s="33" t="inlineStr">
        <is>
          <t>A lane is an accountability grouping of KPIs, NOT a team — the lane lead answers for the number at review. Lanes: Learning Domains · Learning Platform · Developer Platform · Agentic Content Platform · Product Learning Experience.</t>
        </is>
      </c>
    </row>
    <row r="4" ht="55" customHeight="1">
      <c r="A4" s="32" t="inlineStr">
        <is>
          <t>Functions that move it</t>
        </is>
      </c>
      <c r="B4" s="33" t="inlineStr">
        <is>
          <t>The teams that actively build the learning system (HOD one-pager §2 key terms): Content, Engineering, Product Managers, Pedagogy Experts, DA/DEs, Graphic Designers, Video Editors, Product Designers, Packaging Teams, SDIs — plus the CSI team on delivery- and university-facing rows. Draft for red-pen.</t>
        </is>
      </c>
    </row>
    <row r="5" ht="34" customHeight="1">
      <c r="A5" s="32" t="inlineStr">
        <is>
          <t>Dependent metrics</t>
        </is>
      </c>
      <c r="B5" s="33" t="inlineStr">
        <is>
          <t>The trigger metrics that compose or precede the KPI — journey-wise dependent metrics for Program Delivery Gap, drivers for LES, eligibility rule</t>
        </is>
      </c>
    </row>
    <row r="6" ht="34" customHeight="1">
      <c r="A6" s="32" t="inlineStr">
        <is>
          <t>Funnel</t>
        </is>
      </c>
      <c r="B6" s="33" t="inlineStr">
        <is>
          <t>The causal chain from the KPI to the org KRA it moves.</t>
        </is>
      </c>
    </row>
    <row r="7" ht="34" customHeight="1">
      <c r="A7" s="32" t="inlineStr">
        <is>
          <t>Markers</t>
        </is>
      </c>
      <c r="B7" s="33" t="inlineStr">
        <is>
          <t>[ORG] org-owned scoreboard, tracked not owned · [CROSS-DEPT] resolved across departments, we route · [SAMPLE] illustrative numbers until baselines land · [CASCADE] same KPI feeds two KRAs.</t>
        </is>
      </c>
    </row>
    <row r="8" ht="55" customHeight="1">
      <c r="A8" s="32" t="inlineStr">
        <is>
          <t>Editable</t>
        </is>
      </c>
      <c r="B8" s="33" t="inlineStr">
        <is>
          <t>Everything is editable. Cells most expected to change: Functions column (K on the tracker, draft for red-pen), SAMPLE budgets, blank Q1-baseline budgets.</t>
        </is>
      </c>
    </row>
    <row r="9" ht="34" customHeight="1">
      <c r="A9" s="32" t="inlineStr">
        <is>
          <t>Source</t>
        </is>
      </c>
      <c r="B9" s="33" t="inlineStr">
        <is>
          <t>Compiled from the HOD KPI one-pager (§6 scoreboard + mechanism trees) and the internal operating view, Curriculum &amp; Content dept, as of 2026-08-19. Targets are the accountable numbers on that date; function mapping drafted by Claude for HOD red-pen.</t>
        </is>
      </c>
    </row>
    <row r="11">
      <c r="A11" s="35" t="inlineStr">
        <is>
          <t>KRA 1 — SPI Bands</t>
        </is>
      </c>
      <c r="B11" s="36" t="inlineStr">
        <is>
          <t>color key — this KRA's band and row tint</t>
        </is>
      </c>
    </row>
    <row r="12">
      <c r="A12" s="37" t="inlineStr">
        <is>
          <t>KRA 2 — Academics CSAT</t>
        </is>
      </c>
      <c r="B12" s="36" t="inlineStr">
        <is>
          <t>color key — this KRA's band and row tint</t>
        </is>
      </c>
    </row>
    <row r="13">
      <c r="A13" s="38" t="inlineStr">
        <is>
          <t>KRA 3 — University Relations CSAT</t>
        </is>
      </c>
      <c r="B13" s="36" t="inlineStr">
        <is>
          <t>color key — this KRA's band and row tint</t>
        </is>
      </c>
    </row>
    <row r="14">
      <c r="A14" s="39" t="inlineStr">
        <is>
          <t>KRA 4 — GRIT Novice Badges</t>
        </is>
      </c>
      <c r="B14" s="36" t="inlineStr">
        <is>
          <t>color key — this KRA's band and row tint</t>
        </is>
      </c>
    </row>
    <row r="15">
      <c r="A15" s="40" t="inlineStr">
        <is>
          <t>KRA 5 — Employability</t>
        </is>
      </c>
      <c r="B15" s="36" t="inlineStr">
        <is>
          <t>color key — this KRA's band and row tint</t>
        </is>
      </c>
    </row>
    <row r="17" ht="55" customHeight="1">
      <c r="A17" s="48" t="inlineStr">
        <is>
          <t>KPI Tracker FY26-27 (tab 1)</t>
        </is>
      </c>
      <c r="B17" s="49" t="inlineStr">
        <is>
          <t>The single merged sheet — org Head-Abstract format with one Budgeted / Actual / Variance / Remarks set for FY 2026-27, Actual updated at each KPI's frequency. Variance = Budgeted − Actual (org convention): negative = beat on higher-is-better rows; rows flagged 'lower is better' read inverted.</t>
        </is>
      </c>
    </row>
    <row r="18" ht="55" customHeight="1">
      <c r="A18" s="48" t="inlineStr">
        <is>
          <t>Tracker conventions</t>
        </is>
      </c>
      <c r="B18" s="49" t="inlineStr">
        <is>
          <t>KPI name follows Category:Product:Cohort::Name; per-batch rows split into B3 / B4. Budgets are numeric — the ≤ / ≥ direction lives in Description and Remarks. Blank Budgeted = first-quarter baseline sets it. One sheet, so there is no separate target column to keep in sync.</t>
        </is>
      </c>
    </row>
    <row r="19" ht="55" customHeight="1">
      <c r="A19" s="48" t="inlineStr">
        <is>
          <t>Training columns (I–K)</t>
        </is>
      </c>
      <c r="B19" s="49" t="inlineStr">
        <is>
          <t>Dependent metrics · Funnel · Functions are a collapsible column group, collapsed by default — expand with the +/− control above the columns. Collapsed = the org-format tracker; expanded = the training 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2026-08-20T09:26:26Z</dcterms:created>
  <dcterms:modified xmlns:dcterms="http://purl.org/dc/terms/" xmlns:xsi="http://www.w3.org/2001/XMLSchema-instance" xsi:type="dcterms:W3CDTF">2026-08-21T08:46:00Z</dcterms:modified>
</cp:coreProperties>
</file>