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-KPI Map" sheetId="1" state="visible" r:id="rId1"/>
    <sheet xmlns:r="http://schemas.openxmlformats.org/officeDocument/2006/relationships" name="Session Index" sheetId="2" state="visible" r:id="rId2"/>
    <sheet xmlns:r="http://schemas.openxmlformats.org/officeDocument/2006/relationships" name="Legend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  <col width="28" customWidth="1" min="4" max="4"/>
    <col width="40" customWidth="1" min="5" max="5"/>
    <col width="20" customWidth="1" min="6" max="6"/>
    <col width="28" customWidth="1" min="7" max="7"/>
    <col width="16" customWidth="1" min="8" max="8"/>
  </cols>
  <sheetData>
    <row r="1">
      <c r="A1" s="1" t="inlineStr">
        <is>
          <t>KRA — NIAT Org KPI · target</t>
        </is>
      </c>
      <c r="B1" s="1" t="inlineStr">
        <is>
          <t>Department KPI</t>
        </is>
      </c>
      <c r="C1" s="1" t="inlineStr">
        <is>
          <t>Triggers / sub-metrics</t>
        </is>
      </c>
      <c r="D1" s="1" t="inlineStr">
        <is>
          <t>KPI target</t>
        </is>
      </c>
      <c r="E1" s="1" t="inlineStr">
        <is>
          <t>Funnel — how it reaches the org KPI</t>
        </is>
      </c>
      <c r="F1" s="1" t="inlineStr">
        <is>
          <t>Lane (KPI owner)</t>
        </is>
      </c>
      <c r="G1" s="1" t="inlineStr">
        <is>
          <t>Functions that move it</t>
        </is>
      </c>
      <c r="H1" s="1" t="inlineStr">
        <is>
          <t>Metric category</t>
        </is>
      </c>
    </row>
    <row r="2" ht="150" customHeight="1">
      <c r="A2" s="2" t="inlineStr">
        <is>
          <t>KRA 1 — SPI Bands
30% at ≥8.0 · 40% at 7.0–8.0 · 30% at 6.0–7.0, per batch
(read as a flow: deliver → quiz → align → assess)</t>
        </is>
      </c>
      <c r="B2" s="3" t="inlineStr">
        <is>
          <t>Program Delivery Gap  [CASCADE]</t>
        </is>
      </c>
      <c r="C2" s="4" t="inlineStr">
        <is>
          <t>lecture schedule adherence · classroom-quiz conduction &amp; attendance · practice release schedule · module-quiz schedule adherence &amp; integrity · skill-assessment schedule adherence (conducted by Program Ops) · learning assets (PPT + recorded video) ready &amp; loaded ≥1 month ahead</t>
        </is>
      </c>
      <c r="D2" s="4" t="inlineStr">
        <is>
          <t>0% deviation</t>
        </is>
      </c>
      <c r="E2" s="4" t="inlineStr">
        <is>
          <t>designed schedule executed → students sit quizzes &amp; assessments → SPI components computable → SPI Bands</t>
        </is>
      </c>
      <c r="F2" s="4" t="inlineStr">
        <is>
          <t>Product Learning Experience</t>
        </is>
      </c>
      <c r="G2" s="4" t="inlineStr">
        <is>
          <t>CSI team + Product (PLE PM) — counterparty: Program Ops</t>
        </is>
      </c>
      <c r="H2" s="4" t="inlineStr">
        <is>
          <t>Delivery</t>
        </is>
      </c>
    </row>
    <row r="3" ht="150" customHeight="1">
      <c r="A3" s="5" t="n"/>
      <c r="B3" s="3" t="inlineStr">
        <is>
          <t>Module-Quiz Score Bands</t>
        </is>
      </c>
      <c r="C3" s="4" t="inlineStr">
        <is>
          <t>classroom-quiz attempts &amp; performance · practice completion % · module-quiz participation 100% (SPI eligibility)</t>
        </is>
      </c>
      <c r="D3" s="4" t="inlineStr">
        <is>
          <t>≥8.0: 30% · 7.0–8.0: 40% · 5.0–7.0: 30% · &lt;5.0: ~0% (quiz 10-pt scale, one band stricter than org)</t>
        </is>
      </c>
      <c r="E3" s="4" t="inlineStr">
        <is>
          <t>quiz conducted → attempted → scores band 30/40/30 → the authored 15% lands → SPI Bands</t>
        </is>
      </c>
      <c r="F3" s="4" t="inlineStr">
        <is>
          <t>Learning Domains</t>
        </is>
      </c>
      <c r="G3" s="4" t="inlineStr">
        <is>
          <t>Content (SMEs) + Pedagogy + DA/DE</t>
        </is>
      </c>
      <c r="H3" s="4" t="inlineStr">
        <is>
          <t>Business Impact</t>
        </is>
      </c>
    </row>
    <row r="4" ht="150" customHeight="1">
      <c r="A4" s="5" t="n"/>
      <c r="B4" s="3" t="inlineStr">
        <is>
          <t>Content–Assessment Alignment</t>
        </is>
      </c>
      <c r="C4" s="4" t="inlineStr">
        <is>
          <t>assessment blueprints visible · ≥3-month change notice honored · content coverage of the blueprint</t>
        </is>
      </c>
      <c r="D4" s="4" t="inlineStr">
        <is>
          <t>|delta| ≤10pp, ≤5pp after 3 clean cycles</t>
        </is>
      </c>
      <c r="E4" s="4" t="inlineStr">
        <is>
          <t>blueprints visible → content teaches what's tested → quiz scores ≈ assessment scores → the 75% lands → SPI Bands</t>
        </is>
      </c>
      <c r="F4" s="4" t="inlineStr">
        <is>
          <t>Learning Domains</t>
        </is>
      </c>
      <c r="G4" s="4" t="inlineStr">
        <is>
          <t>Content (SMEs) + Pedagogy + DA/DE</t>
        </is>
      </c>
      <c r="H4" s="4" t="inlineStr">
        <is>
          <t>Business Impact</t>
        </is>
      </c>
    </row>
    <row r="5" ht="150" customHeight="1">
      <c r="A5" s="5" t="n"/>
      <c r="B5" s="3" t="inlineStr">
        <is>
          <t>Engagement-Matrix Cell Migration  [SAMPLE]</t>
        </is>
      </c>
      <c r="C5" s="4" t="inlineStr">
        <is>
          <t>capability adoption (tutor, revision, leaderboard, adaptive) · LE effort signals · value signals</t>
        </is>
      </c>
      <c r="D5" s="4" t="inlineStr">
        <is>
          <t>HE×HV 4% → 10% or M×M 10% → 20%, per cycle (semester NIAT · quarter rolling) — SAMPLE until LE baselines</t>
        </is>
      </c>
      <c r="E5" s="4" t="inlineStr">
        <is>
          <t>capabilities adopted → effort &amp; value rise → cells migrate up → scores follow → SPI Bands (leading)</t>
        </is>
      </c>
      <c r="F5" s="4" t="inlineStr">
        <is>
          <t>Learning Platform</t>
        </is>
      </c>
      <c r="G5" s="4" t="inlineStr">
        <is>
          <t>Product (LP PMs) + Engineering (LP) + DA/DE</t>
        </is>
      </c>
      <c r="H5" s="4" t="inlineStr">
        <is>
          <t>Business Impact</t>
        </is>
      </c>
    </row>
    <row r="6" ht="150" customHeight="1">
      <c r="A6" s="5" t="n"/>
      <c r="B6" s="3" t="inlineStr">
        <is>
          <t>Summative &amp; Formative Achievement  [ORG]</t>
        </is>
      </c>
      <c r="C6" s="4" t="inlineStr">
        <is>
          <t>steps above held · assessments conducted on schedule (Program Ops) · instruments authored (Assessments dept)</t>
        </is>
      </c>
      <c r="D6" s="4" t="inlineStr">
        <is>
          <t>same 30/40/30 on assessment scores, per batch</t>
        </is>
      </c>
      <c r="E6" s="4" t="inlineStr">
        <is>
          <t>steps 1–3 held → assessments run → 30/40/30 on the 75% → SPI Bands</t>
        </is>
      </c>
      <c r="F6" s="4" t="inlineStr">
        <is>
          <t>org scoreboard — tracked, not owned</t>
        </is>
      </c>
      <c r="G6" s="4" t="inlineStr">
        <is>
          <t>—</t>
        </is>
      </c>
      <c r="H6" s="4" t="inlineStr">
        <is>
          <t>— context</t>
        </is>
      </c>
    </row>
    <row r="7" ht="150" customHeight="1">
      <c r="A7" s="2" t="inlineStr">
        <is>
          <t>KRA 2 — Academics CSAT
4.5 / 5
(content quality, fast visible fixes, issues that never repeat)</t>
        </is>
      </c>
      <c r="B7" s="3" t="inlineStr">
        <is>
          <t>Content Issue Resolution Efficiency</t>
        </is>
      </c>
      <c r="C7" s="4" t="inlineStr">
        <is>
          <t>issue intake &amp; triage · fix TAT 48 h · student notified</t>
        </is>
      </c>
      <c r="D7" s="4" t="inlineStr">
        <is>
          <t>≥80% within the fixed 2-day TAT</t>
        </is>
      </c>
      <c r="E7" s="4" t="inlineStr">
        <is>
          <t>issue reported → fixed in 48 h → trust in content → Academics CSAT</t>
        </is>
      </c>
      <c r="F7" s="4" t="inlineStr">
        <is>
          <t>Agentic Content Platform</t>
        </is>
      </c>
      <c r="G7" s="4" t="inlineStr">
        <is>
          <t>Content (SMEs) + Engineering (ACP)</t>
        </is>
      </c>
      <c r="H7" s="4" t="inlineStr">
        <is>
          <t>Quality &amp; Reliability</t>
        </is>
      </c>
    </row>
    <row r="8" ht="150" customHeight="1">
      <c r="A8" s="5" t="n"/>
      <c r="B8" s="3" t="inlineStr">
        <is>
          <t>Content Issue Recurrence</t>
        </is>
      </c>
      <c r="C8" s="4" t="inlineStr">
        <is>
          <t>root-cause close — 4-checkbox: instance fixed · artifact changed · tripwire added · broadcast sent</t>
        </is>
      </c>
      <c r="D8" s="4" t="inlineStr">
        <is>
          <t>≤2% of resolved issues / quarter</t>
        </is>
      </c>
      <c r="E8" s="4" t="inlineStr">
        <is>
          <t>fixed once → closed at root cause → never twice → trust → Academics CSAT</t>
        </is>
      </c>
      <c r="F8" s="4" t="inlineStr">
        <is>
          <t>Agentic Content Platform</t>
        </is>
      </c>
      <c r="G8" s="4" t="inlineStr">
        <is>
          <t>Content (SMEs) + Engineering (ACP)</t>
        </is>
      </c>
      <c r="H8" s="4" t="inlineStr">
        <is>
          <t>Quality &amp; Reliability</t>
        </is>
      </c>
    </row>
    <row r="9" ht="128.3225806451613" customHeight="1">
      <c r="A9" s="5" t="n"/>
      <c r="B9" s="3" t="inlineStr">
        <is>
          <t>Learning Environment Satisfaction</t>
        </is>
      </c>
      <c r="C9" s="4" t="inlineStr">
        <is>
          <t>driven by the four rows below</t>
        </is>
      </c>
      <c r="D9" s="4" t="inlineStr">
        <is>
          <t>≥4.5 / 5, monthly</t>
        </is>
      </c>
      <c r="E9" s="4" t="inlineStr">
        <is>
          <t>platform reliable &amp; fast → rating ≥4.5 → Academics CSAT</t>
        </is>
      </c>
      <c r="F9" s="4" t="inlineStr">
        <is>
          <t>Developer Platform</t>
        </is>
      </c>
      <c r="G9" s="4" t="inlineStr">
        <is>
          <t>Engineering (DP)</t>
        </is>
      </c>
      <c r="H9" s="4" t="inlineStr">
        <is>
          <t>Business Impact</t>
        </is>
      </c>
    </row>
    <row r="10" ht="150" customHeight="1">
      <c r="A10" s="5" t="n"/>
      <c r="B10" s="3" t="inlineStr">
        <is>
          <t>Availability &amp; Saturation Detection</t>
        </is>
      </c>
      <c r="C10" s="4" t="inlineStr">
        <is>
          <t>critical services (IDE, compiler, workflows) · alert thresholds · detection time</t>
        </is>
      </c>
      <c r="D10" s="4" t="inlineStr">
        <is>
          <t>100% thresholds alerted · detection ≤10 min</t>
        </is>
      </c>
      <c r="E10" s="4" t="inlineStr">
        <is>
          <t>saturation detected ≤10 min → fixed before students feel it → LES → Academics CSAT</t>
        </is>
      </c>
      <c r="F10" s="4" t="inlineStr">
        <is>
          <t>Developer Platform</t>
        </is>
      </c>
      <c r="G10" s="4" t="inlineStr">
        <is>
          <t>Engineering (DP)</t>
        </is>
      </c>
      <c r="H10" s="4" t="inlineStr">
        <is>
          <t>Quality &amp; Reliability</t>
        </is>
      </c>
    </row>
    <row r="11" ht="150" customHeight="1">
      <c r="A11" s="5" t="n"/>
      <c r="B11" s="3" t="inlineStr">
        <is>
          <t>Tail-Latency User Impact</t>
        </is>
      </c>
      <c r="C11" s="4" t="inlineStr">
        <is>
          <t>IDE launch / submit / publish P99 &lt;60 s · compiler per-language limits</t>
        </is>
      </c>
      <c r="D11" s="4" t="inlineStr">
        <is>
          <t>students beyond P99 limits → 0%</t>
        </is>
      </c>
      <c r="E11" s="4" t="inlineStr">
        <is>
          <t>P99 within limits → coding feels instant → LES → Academics CSAT</t>
        </is>
      </c>
      <c r="F11" s="4" t="inlineStr">
        <is>
          <t>Developer Platform</t>
        </is>
      </c>
      <c r="G11" s="4" t="inlineStr">
        <is>
          <t>Engineering (DP)</t>
        </is>
      </c>
      <c r="H11" s="4" t="inlineStr">
        <is>
          <t>Quality &amp; Reliability</t>
        </is>
      </c>
    </row>
    <row r="12" ht="117.8387096774194" customHeight="1">
      <c r="A12" s="5" t="n"/>
      <c r="B12" s="3" t="inlineStr">
        <is>
          <t>Platform Issue Resolution Efficiency</t>
        </is>
      </c>
      <c r="C12" s="4" t="inlineStr">
        <is>
          <t>2-day TAT (internal same-day)</t>
        </is>
      </c>
      <c r="D12" s="4" t="inlineStr">
        <is>
          <t>≥80% within the fixed 2-day TAT</t>
        </is>
      </c>
      <c r="E12" s="4" t="inlineStr">
        <is>
          <t>platform issue → fixed fast → LES → Academics CSAT</t>
        </is>
      </c>
      <c r="F12" s="4" t="inlineStr">
        <is>
          <t>Developer Platform</t>
        </is>
      </c>
      <c r="G12" s="4" t="inlineStr">
        <is>
          <t>Engineering (DP)</t>
        </is>
      </c>
      <c r="H12" s="4" t="inlineStr">
        <is>
          <t>Quality &amp; Reliability</t>
        </is>
      </c>
    </row>
    <row r="13" ht="101.0645161290323" customHeight="1">
      <c r="A13" s="5" t="n"/>
      <c r="B13" s="3" t="inlineStr">
        <is>
          <t>Platform Issue Recurrence</t>
        </is>
      </c>
      <c r="C13" s="4" t="inlineStr">
        <is>
          <t>root-cause close</t>
        </is>
      </c>
      <c r="D13" s="4" t="inlineStr">
        <is>
          <t>≤2% of resolved issues / quarter</t>
        </is>
      </c>
      <c r="E13" s="4" t="inlineStr">
        <is>
          <t>fixed → never twice → LES → Academics CSAT</t>
        </is>
      </c>
      <c r="F13" s="4" t="inlineStr">
        <is>
          <t>Developer Platform</t>
        </is>
      </c>
      <c r="G13" s="4" t="inlineStr">
        <is>
          <t>Engineering (DP)</t>
        </is>
      </c>
      <c r="H13" s="4" t="inlineStr">
        <is>
          <t>Quality &amp; Reliability</t>
        </is>
      </c>
    </row>
    <row r="14" ht="150" customHeight="1">
      <c r="A14" s="5" t="n"/>
      <c r="B14" s="3" t="inlineStr">
        <is>
          <t>Journey Step Health (NIAT first)</t>
        </is>
      </c>
      <c r="C14" s="4" t="inlineStr">
        <is>
          <t>the 11 journey steps — attendance · class runs · classroom quiz · practice · revision · module quiz · skill assessment … (one-pager §11)</t>
        </is>
      </c>
      <c r="D14" s="4" t="inlineStr">
        <is>
          <t>% of steps green, per product (baseline first quarter)</t>
        </is>
      </c>
      <c r="E14" s="4" t="inlineStr">
        <is>
          <t>capabilities configured → 11 steps green → assembled experience works → Academics CSAT (+ SPI)</t>
        </is>
      </c>
      <c r="F14" s="4" t="inlineStr">
        <is>
          <t>Product Learning Experience</t>
        </is>
      </c>
      <c r="G14" s="4" t="inlineStr">
        <is>
          <t>Product (PLE PM) + DA/DE + CSI team</t>
        </is>
      </c>
      <c r="H14" s="4" t="inlineStr">
        <is>
          <t>Business Impact</t>
        </is>
      </c>
    </row>
    <row r="15" ht="150" customHeight="1">
      <c r="A15" s="5" t="n"/>
      <c r="B15" s="3" t="inlineStr">
        <is>
          <t>Product Issue Resolution Efficiency  [CROSS-DEPT]</t>
        </is>
      </c>
      <c r="C15" s="4" t="inlineStr">
        <is>
          <t>routing to owning department · fix live · students notified (silent fixes don't count)</t>
        </is>
      </c>
      <c r="D15" s="4" t="inlineStr">
        <is>
          <t>first-quarter baseline sets the TAT target</t>
        </is>
      </c>
      <c r="E15" s="4" t="inlineStr">
        <is>
          <t>any student issue → routed → fixed + notified → Academics CSAT</t>
        </is>
      </c>
      <c r="F15" s="4" t="inlineStr">
        <is>
          <t>Product Learning Experience</t>
        </is>
      </c>
      <c r="G15" s="4" t="inlineStr">
        <is>
          <t>Product (PLE PM) + CSI team</t>
        </is>
      </c>
      <c r="H15" s="4" t="inlineStr">
        <is>
          <t>Quality &amp; Reliability</t>
        </is>
      </c>
    </row>
    <row r="16" ht="140.9032258064516" customHeight="1">
      <c r="A16" s="5" t="n"/>
      <c r="B16" s="3" t="inlineStr">
        <is>
          <t>Product Issue Recurrence  [CROSS-DEPT]</t>
        </is>
      </c>
      <c r="C16" s="4" t="inlineStr">
        <is>
          <t>student-journey-level recurrence watch</t>
        </is>
      </c>
      <c r="D16" s="4" t="inlineStr">
        <is>
          <t>≤2% of resolved issues / quarter</t>
        </is>
      </c>
      <c r="E16" s="4" t="inlineStr">
        <is>
          <t>resolved once → never twice at journey level → Academics CSAT</t>
        </is>
      </c>
      <c r="F16" s="4" t="inlineStr">
        <is>
          <t>Product Learning Experience</t>
        </is>
      </c>
      <c r="G16" s="4" t="inlineStr">
        <is>
          <t>Product (PLE PM) + CSI team</t>
        </is>
      </c>
      <c r="H16" s="4" t="inlineStr">
        <is>
          <t>Quality &amp; Reliability</t>
        </is>
      </c>
    </row>
    <row r="17" ht="150" customHeight="1">
      <c r="A17" s="2" t="inlineStr">
        <is>
          <t>KRA 3 — University Relations CSAT
4.5 · 4.0 · 4.0
(BOS-compliant curriculum, delivered as approved, responsive partnership)</t>
        </is>
      </c>
      <c r="B17" s="3" t="inlineStr">
        <is>
          <t>BOS Credit Acceptance</t>
        </is>
      </c>
      <c r="C17" s="4" t="inlineStr">
        <is>
          <t>per-credit acceptance per university · curriculum finalisation (Bharath, PK Das, Visakha pending)</t>
        </is>
      </c>
      <c r="D17" s="4" t="inlineStr">
        <is>
          <t>B3 85% · B4 90%</t>
        </is>
      </c>
      <c r="E17" s="4" t="inlineStr">
        <is>
          <t>credits proposed → accepted first pass → university leadership confidence → Univ Relations CSAT</t>
        </is>
      </c>
      <c r="F17" s="4" t="inlineStr">
        <is>
          <t>Product Learning Experience</t>
        </is>
      </c>
      <c r="G17" s="4" t="inlineStr">
        <is>
          <t>CSI team + Content (SMEs)</t>
        </is>
      </c>
      <c r="H17" s="4" t="inlineStr">
        <is>
          <t>Business Impact</t>
        </is>
      </c>
    </row>
    <row r="18" ht="150" customHeight="1">
      <c r="A18" s="5" t="n"/>
      <c r="B18" s="3" t="inlineStr">
        <is>
          <t>Program Delivery Gap  [CASCADE]</t>
        </is>
      </c>
      <c r="C18" s="4" t="inlineStr">
        <is>
          <t>same triggers as the KRA 1 row — one KPI feeding two KRAs</t>
        </is>
      </c>
      <c r="D18" s="4" t="inlineStr">
        <is>
          <t>0% deviation</t>
        </is>
      </c>
      <c r="E18" s="4" t="inlineStr">
        <is>
          <t>delivered = approved plan → university trust → Univ Relations CSAT</t>
        </is>
      </c>
      <c r="F18" s="4" t="inlineStr">
        <is>
          <t>Product Learning Experience</t>
        </is>
      </c>
      <c r="G18" s="4" t="inlineStr">
        <is>
          <t>CSI team + Product (PLE PM)</t>
        </is>
      </c>
      <c r="H18" s="4" t="inlineStr">
        <is>
          <t>Delivery</t>
        </is>
      </c>
    </row>
    <row r="19" ht="150" customHeight="1">
      <c r="A19" s="5" t="n"/>
      <c r="B19" s="3" t="inlineStr">
        <is>
          <t>University Communication TAT</t>
        </is>
      </c>
      <c r="C19" s="4" t="inlineStr">
        <is>
          <t>ack ≤1 business day · request-class TATs (standard 3 days, heavy artefacts pre-agreed) · university-request log (month 1)</t>
        </is>
      </c>
      <c r="D19" s="4" t="inlineStr">
        <is>
          <t>≥90% answered within TAT</t>
        </is>
      </c>
      <c r="E19" s="4" t="inlineStr">
        <is>
          <t>requests answered in TAT → partnership friction drops → Univ Relations CSAT</t>
        </is>
      </c>
      <c r="F19" s="4" t="inlineStr">
        <is>
          <t>Product Learning Experience</t>
        </is>
      </c>
      <c r="G19" s="4" t="inlineStr">
        <is>
          <t>CSI team</t>
        </is>
      </c>
      <c r="H19" s="4" t="inlineStr">
        <is>
          <t>Quality &amp; Reliability</t>
        </is>
      </c>
    </row>
    <row r="20" ht="150" customHeight="1">
      <c r="A20" s="5" t="n"/>
      <c r="B20" s="3" t="inlineStr">
        <is>
          <t>University Curriculum Compliance · Framework Compliance</t>
        </is>
      </c>
      <c r="C20" s="4" t="inlineStr">
        <is>
          <t>delivery matches the approved BOS syllabus · NHQRF / Woolf / AICTE / UGC audits</t>
        </is>
      </c>
      <c r="D20" s="4" t="inlineStr">
        <is>
          <t>compliant, every submission cycle</t>
        </is>
      </c>
      <c r="E20" s="4" t="inlineStr">
        <is>
          <t>BOS &amp; frameworks kept → zero partnership risk → Univ Relations CSAT</t>
        </is>
      </c>
      <c r="F20" s="4" t="inlineStr">
        <is>
          <t>Product Learning Experience</t>
        </is>
      </c>
      <c r="G20" s="4" t="inlineStr">
        <is>
          <t>CSI team + Content (SMEs)</t>
        </is>
      </c>
      <c r="H20" s="4" t="inlineStr">
        <is>
          <t>Quality &amp; Reliability</t>
        </is>
      </c>
    </row>
    <row r="21" ht="150" customHeight="1">
      <c r="A21" s="2" t="inlineStr">
        <is>
          <t>KRA 4 — GRIT Novice Badges
5,000
(classroom learning trains to contest level)</t>
        </is>
      </c>
      <c r="B21" s="3" t="inlineStr">
        <is>
          <t>Industry Update Adherence (Learning–GRIT delta)</t>
        </is>
      </c>
      <c r="C21" s="4" t="inlineStr">
        <is>
          <t>GRIT-tested skills inventory vs live course content</t>
        </is>
      </c>
      <c r="D21" s="4" t="inlineStr">
        <is>
          <t>delta → 0</t>
        </is>
      </c>
      <c r="E21" s="4" t="inlineStr">
        <is>
          <t>course content covers GRIT-tested skills → students contest-ready → Novice badges</t>
        </is>
      </c>
      <c r="F21" s="4" t="inlineStr">
        <is>
          <t>Learning Domains</t>
        </is>
      </c>
      <c r="G21" s="4" t="inlineStr">
        <is>
          <t>Content (SMEs)</t>
        </is>
      </c>
      <c r="H21" s="4" t="inlineStr">
        <is>
          <t>Quality &amp; Reliability</t>
        </is>
      </c>
    </row>
    <row r="22" ht="128.3225806451613" customHeight="1">
      <c r="A22" s="5" t="n"/>
      <c r="B22" s="3" t="inlineStr">
        <is>
          <t>GRIT-feature KPIs  [ORG]</t>
        </is>
      </c>
      <c r="C22" s="4" t="inlineStr">
        <is>
          <t>ask raised to the GRIT owner (Sundar) to define</t>
        </is>
      </c>
      <c r="D22" s="4" t="inlineStr">
        <is>
          <t>pending definition</t>
        </is>
      </c>
      <c r="E22" s="4" t="inlineStr">
        <is>
          <t>GRIT features drive practice → badges (mapping pending)</t>
        </is>
      </c>
      <c r="F22" s="4" t="inlineStr">
        <is>
          <t>GRIT owner</t>
        </is>
      </c>
      <c r="G22" s="4" t="inlineStr">
        <is>
          <t>—</t>
        </is>
      </c>
      <c r="H22" s="4" t="inlineStr">
        <is>
          <t>— context</t>
        </is>
      </c>
    </row>
    <row r="23" ht="150" customHeight="1">
      <c r="A23" s="2" t="inlineStr">
        <is>
          <t>KRA 5 — Employability
B3 80% · B4 80%
(skill mastered this semester → offers next year)</t>
        </is>
      </c>
      <c r="B23" s="3" t="inlineStr">
        <is>
          <t>Mapping yet to be thought through</t>
        </is>
      </c>
      <c r="C23" s="4" t="inlineStr">
        <is>
          <t>skill mastery is the long lever — adaptive practice, stronger question banks</t>
        </is>
      </c>
      <c r="D23" s="4" t="inlineStr">
        <is>
          <t>—</t>
        </is>
      </c>
      <c r="E23" s="4" t="inlineStr">
        <is>
          <t>real skill rises → placements later (mapping deliberately not forced yet)</t>
        </is>
      </c>
      <c r="F23" s="4" t="inlineStr">
        <is>
          <t>—</t>
        </is>
      </c>
      <c r="G23" s="4" t="inlineStr">
        <is>
          <t>—</t>
        </is>
      </c>
      <c r="H23" s="4" t="inlineStr">
        <is>
          <t>— placeholder</t>
        </is>
      </c>
    </row>
  </sheetData>
  <mergeCells count="5">
    <mergeCell ref="A7:A16"/>
    <mergeCell ref="A21:A22"/>
    <mergeCell ref="A17:A20"/>
    <mergeCell ref="A2:A6"/>
    <mergeCell ref="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  <col width="12" customWidth="1" min="3" max="3"/>
  </cols>
  <sheetData>
    <row r="1">
      <c r="A1" s="1" t="inlineStr">
        <is>
          <t>Function (training room)</t>
        </is>
      </c>
      <c r="B1" s="1" t="inlineStr">
        <is>
          <t>Your rows in the map</t>
        </is>
      </c>
      <c r="C1" s="1" t="inlineStr">
        <is>
          <t>Row count</t>
        </is>
      </c>
    </row>
    <row r="2" ht="30" customHeight="1">
      <c r="A2" s="3" t="inlineStr">
        <is>
          <t>Product (PMs)</t>
        </is>
      </c>
      <c r="B2" s="4" t="inlineStr">
        <is>
          <t>Program Delivery Gap (both KRAs) · Engagement-Matrix Cell Migration · Journey Step Health · Product Issue Resolution + Recurrence</t>
        </is>
      </c>
      <c r="C2" s="4">
        <f>COUNTIF('KRA-KPI Map'!$G$2:$G$23,"*Product (*")</f>
        <v/>
      </c>
    </row>
    <row r="3" ht="30" customHeight="1">
      <c r="A3" s="3" t="inlineStr">
        <is>
          <t>Engineering</t>
        </is>
      </c>
      <c r="B3" s="4" t="inlineStr">
        <is>
          <t>LES + its four drivers (DP) · Content Issue pair tooling/routing (ACP) · Cell Migration build (LP)</t>
        </is>
      </c>
      <c r="C3" s="4">
        <f>COUNTIF('KRA-KPI Map'!$G$2:$G$23,"*Engineering*")</f>
        <v/>
      </c>
    </row>
    <row r="4" ht="30" customHeight="1">
      <c r="A4" s="3" t="inlineStr">
        <is>
          <t>Content (SMEs)</t>
        </is>
      </c>
      <c r="B4" s="4" t="inlineStr">
        <is>
          <t>Module-Quiz Score Bands · Content–Assessment Alignment · Content Issue pair (fixes) · BOS curriculum artifacts · Compliance · GRIT delta</t>
        </is>
      </c>
      <c r="C4" s="4">
        <f>COUNTIF('KRA-KPI Map'!$G$2:$G$23,"*Content (SMEs)*")</f>
        <v/>
      </c>
    </row>
    <row r="5" ht="30" customHeight="1">
      <c r="A5" s="3" t="inlineStr">
        <is>
          <t>Pedagogy</t>
        </is>
      </c>
      <c r="B5" s="4" t="inlineStr">
        <is>
          <t>Module-Quiz Score Bands · Content–Assessment Alignment</t>
        </is>
      </c>
      <c r="C5" s="4">
        <f>COUNTIF('KRA-KPI Map'!$G$2:$G$23,"*Pedagogy*")</f>
        <v/>
      </c>
    </row>
    <row r="6" ht="30" customHeight="1">
      <c r="A6" s="3" t="inlineStr">
        <is>
          <t>DA/DE</t>
        </is>
      </c>
      <c r="B6" s="4" t="inlineStr">
        <is>
          <t>score analysis (bands, alignment) · LE dashboard (cell migration) · Journey Step Health instrumentation</t>
        </is>
      </c>
      <c r="C6" s="4">
        <f>COUNTIF('KRA-KPI Map'!$G$2:$G$23,"*DA/DE*")</f>
        <v/>
      </c>
    </row>
    <row r="7" ht="30" customHeight="1">
      <c r="A7" s="3" t="inlineStr">
        <is>
          <t>CSI team</t>
        </is>
      </c>
      <c r="B7" s="4" t="inlineStr">
        <is>
          <t>Program Delivery Gap (both KRAs) · Journey Step Health · Product Issue pair · BOS · University Communication TAT · Compliance</t>
        </is>
      </c>
      <c r="C7" s="4">
        <f>COUNTIF('KRA-KPI Map'!$G$2:$G$23,"*CSI team*")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4" customHeight="1">
      <c r="A1" s="3" t="inlineStr">
        <is>
          <t>How to read</t>
        </is>
      </c>
      <c r="B1" s="4" t="inlineStr">
        <is>
          <t>A KRA (Key Result Area) is an org outcome NIAT is judged on — it carries the target (column A). Each KRA is served by department KPIs (column B) with their own targets (column D).</t>
        </is>
      </c>
    </row>
    <row r="2" ht="34" customHeight="1">
      <c r="A2" s="3" t="inlineStr">
        <is>
          <t>Lane (KPI owner)</t>
        </is>
      </c>
      <c r="B2" s="4" t="inlineStr">
        <is>
          <t>A lane is an accountability grouping of KPIs, NOT a team — the lane lead answers for the number at review. Lanes: Learning Domains · Learning Platform · Developer Platform · Agentic Content Platform · Product Learning Experience.</t>
        </is>
      </c>
    </row>
    <row r="3" ht="34" customHeight="1">
      <c r="A3" s="3" t="inlineStr">
        <is>
          <t>Functions that move it</t>
        </is>
      </c>
      <c r="B3" s="4" t="inlineStr">
        <is>
          <t>The real teams whose day job moves the KPI — Product, Engineering, Content (SMEs), Pedagogy, DA/DE, CSI team. Training runs per function; the Session Index sheet is the room-by-room cut. THIS COLUMN IS A DRAFT — edit freely, the index counts recompute.</t>
        </is>
      </c>
    </row>
    <row r="4" ht="34" customHeight="1">
      <c r="A4" s="3" t="inlineStr">
        <is>
          <t>Triggers / sub-metrics</t>
        </is>
      </c>
      <c r="B4" s="4" t="inlineStr">
        <is>
          <t>What composes or precedes the KPI — journey-wise sub-metrics for Program Delivery Gap, drivers for LES, eligibility rules for quiz metrics.</t>
        </is>
      </c>
    </row>
    <row r="5" ht="34" customHeight="1">
      <c r="A5" s="3" t="inlineStr">
        <is>
          <t>Funnel</t>
        </is>
      </c>
      <c r="B5" s="4" t="inlineStr">
        <is>
          <t>The causal chain from the KPI to the org KRA it moves.</t>
        </is>
      </c>
    </row>
    <row r="6" ht="34" customHeight="1">
      <c r="A6" s="3" t="inlineStr">
        <is>
          <t>Markers</t>
        </is>
      </c>
      <c r="B6" s="4" t="inlineStr">
        <is>
          <t>[ORG] org-owned scoreboard, tracked not owned · [CROSS-DEPT] resolved across departments, we route · [SAMPLE] illustrative numbers until baselines land · [CASCADE] same KPI feeds two KRAs.</t>
        </is>
      </c>
    </row>
    <row r="7" ht="34" customHeight="1">
      <c r="A7" s="3" t="inlineStr">
        <is>
          <t>Editable</t>
        </is>
      </c>
      <c r="B7" s="4" t="inlineStr">
        <is>
          <t>Everything is editable. Cells most expected to change: Functions column (G, draft), SAMPLE targets (cell migration — awaiting LE-dashboard baselines), Journey Step Health baseline, conduction-adherence ground truth.</t>
        </is>
      </c>
    </row>
    <row r="8" ht="34" customHeight="1">
      <c r="A8" s="3" t="inlineStr">
        <is>
          <t>Source</t>
        </is>
      </c>
      <c r="B8" s="4" t="inlineStr">
        <is>
          <t>Compiled from the HOD KPI one-pager (§6 scoreboard + mechanism trees) and the internal operating view, Curriculum &amp; Content dept, as of 2026-08-19. Targets are the accountable numbers on that date; function mapping drafted by Claude for HOD red-pen.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2026-08-20T09:20:19Z</dcterms:created>
  <dcterms:modified xmlns:dcterms="http://purl.org/dc/terms/" xmlns:xsi="http://www.w3.org/2001/XMLSchema-instance" xsi:type="dcterms:W3CDTF">2026-08-20T09:20:19Z</dcterms:modified>
</cp:coreProperties>
</file>