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README" sheetId="1" r:id="rId5"/>
    <sheet state="visible" name="Unit Level" sheetId="2" r:id="rId6"/>
    <sheet state="visible" name="Topic Level" sheetId="3" r:id="rId7"/>
    <sheet state="visible" name="Course Level" sheetId="4" r:id="rId8"/>
    <sheet state="visible" name="Tracking Gaps" sheetId="5" r:id="rId9"/>
    <sheet state="visible" name="Source Tables" sheetId="6" r:id="rId10"/>
  </sheets>
  <definedNames/>
  <calcPr/>
</workbook>
</file>

<file path=xl/sharedStrings.xml><?xml version="1.0" encoding="utf-8"?>
<sst xmlns="http://schemas.openxmlformats.org/spreadsheetml/2006/main" count="498" uniqueCount="363">
  <si>
    <t>Learner Behaviour Intelligence ELP — NIAT 2025</t>
  </si>
  <si>
    <t>Section</t>
  </si>
  <si>
    <t>Details</t>
  </si>
  <si>
    <t>Layer</t>
  </si>
  <si>
    <t>Metric Rows</t>
  </si>
  <si>
    <t>Yes Metrics</t>
  </si>
  <si>
    <t>Partial Metrics</t>
  </si>
  <si>
    <t>Objective</t>
  </si>
  <si>
    <t>ELP for NIAT 2025 batch learner-behaviour insight summaries at Unit → Topic → Course layers so curriculum/business owners can plan restructuring based on measured usage, performance, misconception, and pacing signals.</t>
  </si>
  <si>
    <t>Unit</t>
  </si>
  <si>
    <t>Primary hierarchy</t>
  </si>
  <si>
    <t>Unit summaries are the atomic layer. Topic summaries aggregate aligned unit metrics. Course summaries aggregate topic outputs and add cross-topic/cross-course signals.</t>
  </si>
  <si>
    <t>Topic</t>
  </si>
  <si>
    <t>Phase 1 business-owner focus</t>
  </si>
  <si>
    <t>MCQ option-selection distribution by option_id; first-attempt correct rate + discrimination; textual wrong-answer top-N; coding attempt funnel/pass metrics where available.</t>
  </si>
  <si>
    <t>Course</t>
  </si>
  <si>
    <t>Scope assumption</t>
  </si>
  <si>
    <t>NIAT 2025 batch, Semesters 1–2 courses listed in the business owner context. Use stable session/topic lists for course scoping because course_ids may have changed.</t>
  </si>
  <si>
    <t>Join caution</t>
  </si>
  <si>
    <t>Do not aggregate by unit_id alone. Use course/session(topic)_id + unit_id because unit_ids can be reused across sessions. Prefer content_hash for duplicated/cloned questions if available/generated.</t>
  </si>
  <si>
    <t>Important limitation</t>
  </si>
  <si>
    <t>Coding raw submitted code and per-test-case pass/fail are not synced. Therefore test_case_id failure anatomy, visible-vs-hidden failure split, and format-only failure rates cannot be produced from current tables.</t>
  </si>
  <si>
    <t>Workbook usage</t>
  </si>
  <si>
    <t>Start with 03 Unit Level, roll up to 04 Topic Level, then 05 Course Level. Use 06 Tracking Gaps to separate current ELP from future instrumentation requirements.</t>
  </si>
  <si>
    <t>Generated on</t>
  </si>
  <si>
    <t>2026-07-08 07:29 IST</t>
  </si>
  <si>
    <t>Unit-level ELP Metrics</t>
  </si>
  <si>
    <t>Atomic extraction layer. These metrics should be computed first and then reused by topic/course summaries.</t>
  </si>
  <si>
    <t>Metric Cluster</t>
  </si>
  <si>
    <t>Metric / Output</t>
  </si>
  <si>
    <t>Definition / Business Logic</t>
  </si>
  <si>
    <t>Primary Sources / Inputs</t>
  </si>
  <si>
    <t>Derivation Status</t>
  </si>
  <si>
    <t>Roll-up / Alignment</t>
  </si>
  <si>
    <t>Identity &amp; scope</t>
  </si>
  <si>
    <t>Stable unit spine</t>
  </si>
  <si>
    <t>Carry course, topic/session, unit, unit_type, unit_order, question_count, content_hash where available.</t>
  </si>
  <si>
    <t>content_all_products_unit_wise_content_hierarchy_details; 
content_course_version_wise_content_hierarchy_details; 
content_question_set_units_questions_details</t>
  </si>
  <si>
    <t>Yes</t>
  </si>
  <si>
    <t>Base dimension for topic roll-up.</t>
  </si>
  <si>
    <t>Reach &amp; funnel</t>
  </si>
  <si>
    <t>Eligible / unlocked learners</t>
  </si>
  <si>
    <t>Count learners in NIAT 2025 batch who had this unit unlocked or scheduled.</t>
  </si>
  <si>
    <t>curriculum_ops_niat_2025_users_batch_wise_unlocked_units_completion_details; 
niat_and_intensive_offline_users_details</t>
  </si>
  <si>
    <t>Topic eligible learners = dedup eligible learners across topic units.</t>
  </si>
  <si>
    <t>Unit open rate</t>
  </si>
  <si>
    <t>opened_learners / eligible_learners. Use resource completion/open timestamps or unit progress table depending on unit type.</t>
  </si>
  <si>
    <t>all_users_resource_wise_completion_details; 
unlocked_units_completion_details</t>
  </si>
  <si>
    <t>Topic open rate should be learner-deduped across units.</t>
  </si>
  <si>
    <t>Unit completion rate</t>
  </si>
  <si>
    <t>completed_learners / eligible_learners; include completion status and completion timestamp.</t>
  </si>
  <si>
    <t>all_users_resource_wise_completion_details; curriculum_ops_niat_2025_users_batch_wise_unlocked_units_completion_details</t>
  </si>
  <si>
    <t>Topic completion = unit sequence funnel + topic all-units-complete rate.</t>
  </si>
  <si>
    <t>Open-but-incomplete rate</t>
  </si>
  <si>
    <t>(opened_learners - completed_learners) / opened_learners.</t>
  </si>
  <si>
    <t>resource completion details; unlocked unit completion details</t>
  </si>
  <si>
    <t>Topic stall index uses weighted open-but-incomplete rate.</t>
  </si>
  <si>
    <t>Score / mastery</t>
  </si>
  <si>
    <t>Best score distribution</t>
  </si>
  <si>
    <t>Average, median, p25, p75, p90 of best/final score; % ≥80% mastery threshold; % failed.</t>
  </si>
  <si>
    <t>all_users_exam_or_practice_units_attempts_details; curriculum_ops_niat_2025_users_batch_wise_quiz_best_attempts_and_completion_details</t>
  </si>
  <si>
    <t>Topic mastery = weighted % mastered across units and all-units mastered.</t>
  </si>
  <si>
    <t>Attempts / retries per learner</t>
  </si>
  <si>
    <t>attempt_count, median attempts, % with &gt;1 attempt, % repeated after failure.</t>
  </si>
  <si>
    <t>all_users_exam_or_practice_units_attempts_details</t>
  </si>
  <si>
    <t>Topic retry burden = weighted retry rate by attempted learners.</t>
  </si>
  <si>
    <t>Failed → practice-again vs proceed</t>
  </si>
  <si>
    <t>% failed attempts followed by practice-again; % failed and proceeded/moved on.</t>
  </si>
  <si>
    <t>all_users_exam_or_practice_units_attempts_details; 
resource completion/progress tables</t>
  </si>
  <si>
    <t>Partial</t>
  </si>
  <si>
    <t>Topic mastery leakage combines units where learners fail and move on.</t>
  </si>
  <si>
    <t>Time &amp; pacing</t>
  </si>
  <si>
    <t>Unit time spent</t>
  </si>
  <si>
    <t>Total time spent, median/p90 time spent, extreme-low time rate, extreme-high time rate.</t>
  </si>
  <si>
    <t>all_users_day_wise_and_unit_wise_timespent_from_cloudwatch_log</t>
  </si>
  <si>
    <t>Topic time burden = sum learner-level unit time, not average of medians.</t>
  </si>
  <si>
    <t>Class-to-practice lag</t>
  </si>
  <si>
    <t>Days from scheduled session date to first open and to completion.</t>
  </si>
  <si>
    <t>niat_and_intensive_offline_section_wise_daily_learning_schedule_details; 
niat_schedule_details_as_per_prod_sequence; 
resource completion/open timestamps</t>
  </si>
  <si>
    <t>Topic lag = recomputed distribution across all topic unit completions.</t>
  </si>
  <si>
    <t>Question performance</t>
  </si>
  <si>
    <t>Question attempt/exposure count</t>
  </si>
  <si>
    <t>answered_attempts, unique_answering_learners, first_attempt_count. If question_start_datetime exists, also opened/exposed learners.</t>
  </si>
  <si>
    <t>MCQ question-wise attempts; 
all_users_question_attempt_details_for_question_set_units; 
curriculum_ops_exam_practice_question_attempt_details</t>
  </si>
  <si>
    <t>Topic and course question stats weighted by exposure/attempt count.</t>
  </si>
  <si>
    <t>First-attempt correct rate</t>
  </si>
  <si>
    <t>correct_on_first_attempt / first_attempt_count, computed separately by question_type.</t>
  </si>
  <si>
    <t>question attempts; question response summary; 
question metadata</t>
  </si>
  <si>
    <t>Topic difficulty profile aggregates by question_count/exposure_count.</t>
  </si>
  <si>
    <t>Question discrimination</t>
  </si>
  <si>
    <t>Point-biserial correlation of first-attempt correctness with learner unit/session performance, or high-vs-low quartile correct-rate delta.</t>
  </si>
  <si>
    <t>question attempts + learner unit/session score</t>
  </si>
  <si>
    <t>Topic broken-item rate = % questions with zero/negative/low discrimination.</t>
  </si>
  <si>
    <t>Time-on-question distribution</t>
  </si>
  <si>
    <t>Median, p90, &lt;5s answer rate, long-tail rate.</t>
  </si>
  <si>
    <t>all_users_question_attempt_details_for_question_set_units; 
response summary details</t>
  </si>
  <si>
    <t>Topic question friction = high p90 and high low-time rates by unit.</t>
  </si>
  <si>
    <t>MCQ misconception</t>
  </si>
  <si>
    <t>Option-selection distribution</t>
  </si>
  <si>
    <t>Count and % of selected option_id on first attempt and all attempts; split correct/distractor.</t>
  </si>
  <si>
    <t>MCQ question-wise attempts; selected option/user answer; 
content_question_set_units_questions_details; 
option metadata/misconception bank</t>
  </si>
  <si>
    <t>Topic misconception map aggregates option counts to misconception/node.</t>
  </si>
  <si>
    <t>Misconception prevalence per node</t>
  </si>
  <si>
    <t>Sum distractor selections mapped to misconception tag / total relevant attempts.</t>
  </si>
  <si>
    <t>option-selection distribution + misconception tag bank</t>
  </si>
  <si>
    <t>Topic/course top misconception nodes sorted by prevalence and count.</t>
  </si>
  <si>
    <t>Textual answers</t>
  </si>
  <si>
    <t>Top-N normalized wrong-answer strings</t>
  </si>
  <si>
    <t>Normalize user answer strings; list top wrong answers with count, % of wrongs, example variants.</t>
  </si>
  <si>
    <t>non-coding question attempts with user_answer; question metadata</t>
  </si>
  <si>
    <t>Topic top textual misconception table.</t>
  </si>
  <si>
    <t>Coding attempt analytics</t>
  </si>
  <si>
    <t>Coding acceptance funnel</t>
  </si>
  <si>
    <t>opened/attempted → first submit → accepted, first-submit pass rate, submissions-to-accept, abandon after N submissions.</t>
  </si>
  <si>
    <t>curriculum_ops_exam_practice_question_attempt_details; all_users_question_attempt_details_for_question_set_units; all_users_exam_or_practice_units_attempts_details</t>
  </si>
  <si>
    <t>Topic coding difficulty aggregates by question and learner denominators.</t>
  </si>
  <si>
    <t>Resources</t>
  </si>
  <si>
    <t>Video watch-through / reading consumption</t>
  </si>
  <si>
    <t>Video last-watched % and completion; reading/tutorial open/completion where mapped to unit.</t>
  </si>
  <si>
    <t>all_users_video_session_wise_language_wise_last_watched_duration; content_learning_resource_set_wise_learning_resource_details; 
tutorial completion details</t>
  </si>
  <si>
    <t>Topic resource effectiveness = resource completion vs performance comparison.</t>
  </si>
  <si>
    <t>Support / affect</t>
  </si>
  <si>
    <t>AI tutor usage rate</t>
  </si>
  <si>
    <t>% learners invoking bot; turns/conversations; before/after attempt if timestamp chain can be joined.</t>
  </si>
  <si>
    <t>content_ai_bot_details; all_users_bot_raw_conversation_details; question/unit attempt timestamps</t>
  </si>
  <si>
    <t>Topic tutor hotspot rate by unit/question.</t>
  </si>
  <si>
    <t>Feedback/helpful/bookmark rate</t>
  </si>
  <si>
    <t>Feedback submissions and selected enum rates per unit/question; top complaint themes if free text exists.</t>
  </si>
  <si>
    <t>content_feedbacks_entity_wise_question_enums; all_users_feedbacks_question_enum_wise_user_answers</t>
  </si>
  <si>
    <t>Topic content-quality issues combine feedback rate + performance friction.</t>
  </si>
  <si>
    <t>Cohort segmentation</t>
  </si>
  <si>
    <t>University / branch / section / delivery cuts</t>
  </si>
  <si>
    <t>Compute reach, completion, score, misconceptions, lag, and time by institute/branch/section/delivery mode.</t>
  </si>
  <si>
    <t>niat_and_intensive_offline_users_details; niat schedule/details; completion/attempt tables</t>
  </si>
  <si>
    <t>Topic/course dashboards should include these cuts by default.</t>
  </si>
  <si>
    <t>Engagement</t>
  </si>
  <si>
    <t>Video drop-off curve by timestamp</t>
  </si>
  <si>
    <t>Use last watched percentage/completion proxy to get avg dropoff points in videos. helps find engagement rate and overall Video session watch summary</t>
  </si>
  <si>
    <t>Sync play/pause/seek/complete events with position and multimedia duration.</t>
  </si>
  <si>
    <t xml:space="preserve">Topic level engagement trends in terms of % of videos with higher engagement </t>
  </si>
  <si>
    <t>Topic-level ELP Metrics</t>
  </si>
  <si>
    <t>Topic summaries aggregate aligned unit metrics and produce a restructuring priority view per topic/session.</t>
  </si>
  <si>
    <t>Topic spine</t>
  </si>
  <si>
    <t>Stable topic/session summary</t>
  </si>
  <si>
    <t>Carry topic/session id, order, title, linked units, planned class date(s), unit_count, question_count.</t>
  </si>
  <si>
    <t>Unit spine outputs; content hierarchy; schedule tables</t>
  </si>
  <si>
    <t>Feeds course topic map.</t>
  </si>
  <si>
    <t>Topic reach funnel by unit sequence</t>
  </si>
  <si>
    <t>For ordered units: eligible → opened → completed at each unit_type/position. Output unit-level leak points.</t>
  </si>
  <si>
    <t>Unit open/completion metrics</t>
  </si>
  <si>
    <t>Course funnel aggregates topic funnels and flags repeated leak patterns.</t>
  </si>
  <si>
    <t>Topic all-units completion rate</t>
  </si>
  <si>
    <t>% eligible learners completing all required units in the topic; median units completed per learner.</t>
  </si>
  <si>
    <t>Unit completion summaries</t>
  </si>
  <si>
    <t>Course completion map by topic.</t>
  </si>
  <si>
    <t>Topic mastery rate</t>
  </si>
  <si>
    <t>% learners who achieve unit mastery threshold across required scored units; average best score by unit type.</t>
  </si>
  <si>
    <t>Unit score/mastery metrics</t>
  </si>
  <si>
    <t>Course mastery heatmap by topic.</t>
  </si>
  <si>
    <t>Topic difficulty calibration</t>
  </si>
  <si>
    <t>Distribution of empirical first-attempt correct rates; authored difficulty vs empirical difficulty mismatch rate.</t>
  </si>
  <si>
    <t>Unit question first-attempt correct rate + question metadata</t>
  </si>
  <si>
    <t>Course calibration summary by topic and question type.</t>
  </si>
  <si>
    <t>Question quality</t>
  </si>
  <si>
    <t>Broken / low-discrimination item rate</t>
  </si>
  <si>
    <t>% questions with zero/negative/low discrimination or high wrong-key suspicion.</t>
  </si>
  <si>
    <t>Unit discrimination metrics</t>
  </si>
  <si>
    <t>Course question-bank health score.</t>
  </si>
  <si>
    <t>Misconceptions</t>
  </si>
  <si>
    <t>Topic misconception prevalence map</t>
  </si>
  <si>
    <t>Aggregate MCQ distractor selections by misconception tag/node across units/questions.</t>
  </si>
  <si>
    <t>Unit option-selection + misconception bank</t>
  </si>
  <si>
    <t>Course top misconception nodes and topic clusters.</t>
  </si>
  <si>
    <t>Topic textual misconception list</t>
  </si>
  <si>
    <t>Top normalized wrong strings across textual questions with question context and unit location.</t>
  </si>
  <si>
    <t>Unit top-N textual wrong strings</t>
  </si>
  <si>
    <t>Course textual trap backlog.</t>
  </si>
  <si>
    <t>Coding</t>
  </si>
  <si>
    <t>Topic coding success profile</t>
  </si>
  <si>
    <t>Attempted learners, first-submit pass rate, accepted rate, submissions-to-accept, abandon rate after N submissions.</t>
  </si>
  <si>
    <t>Unit coding acceptance funnel</t>
  </si>
  <si>
    <t>Course coding difficulty trend by topic.</t>
  </si>
  <si>
    <t>Topic time burden</t>
  </si>
  <si>
    <t>Total active time across topic units; median/p90; time by unit type/resource type.</t>
  </si>
  <si>
    <t>Unit time spent + resource events</t>
  </si>
  <si>
    <t>Course time distribution across topics.</t>
  </si>
  <si>
    <t>Topic class-to-practice lag</t>
  </si>
  <si>
    <t>Days from topic scheduled delivery to first practice start and completion; p50/p90.</t>
  </si>
  <si>
    <t>Unit lag metrics; schedule tables</t>
  </si>
  <si>
    <t>Course pacing/drift trend.</t>
  </si>
  <si>
    <t>Resource-to-performance relationship</t>
  </si>
  <si>
    <t>Compare mastery and first-attempt rates for watchers/readers vs skippers, preferably controlled by prior performance.</t>
  </si>
  <si>
    <t>Unit resource consumption + question/unit performance</t>
  </si>
  <si>
    <t>Course resource strategy summary.</t>
  </si>
  <si>
    <t>Topic tutor/help hotspot</t>
  </si>
  <si>
    <t>Tutor invocation rate, feedback rate, and complaint themes ranked by unit/question.</t>
  </si>
  <si>
    <t>AI bot logs; feedback tables; unit metrics</t>
  </si>
  <si>
    <t>Course support burden map.</t>
  </si>
  <si>
    <t>Course-level ELP Metrics</t>
  </si>
  <si>
    <t>Course summaries aggregate topic outputs and add pacing, cohort, prerequisite, and outcome-linkage views.</t>
  </si>
  <si>
    <t>Course spine</t>
  </si>
  <si>
    <t>Course scope by authoritative session list</t>
  </si>
  <si>
    <t>Define course by supplied session/topic list and crosswalk, not raw course_id alone. Carry semester, course title, topic count, unit count, question count.</t>
  </si>
  <si>
    <t>curriculum_ops_semester_subject_wise_portal_course_details; hierarchy tables; ID crosswalk/session lists</t>
  </si>
  <si>
    <t>Needs input/crosswalk</t>
  </si>
  <si>
    <t>Reach &amp; completion</t>
  </si>
  <si>
    <t>Course reach and completion funnel</t>
  </si>
  <si>
    <t>Eligible learners → opened ≥1 topic/unit → completed N% topics → completed all required units/topics.</t>
  </si>
  <si>
    <t>Topic reach/completion metrics; unlocked unit completion details</t>
  </si>
  <si>
    <t>Progress</t>
  </si>
  <si>
    <t>Course topic progress heatmap</t>
  </si>
  <si>
    <t>For each topic: open rate, completion rate, mastery rate, p50 lag, restructure priority score.</t>
  </si>
  <si>
    <t>Topic metrics</t>
  </si>
  <si>
    <t>Mastery</t>
  </si>
  <si>
    <t>Course mastery distribution</t>
  </si>
  <si>
    <t>% learners mastering 0–25%, 25–50%, 50–75%, 75–100% of required topics/units.</t>
  </si>
  <si>
    <t>Topic/unit mastery metrics</t>
  </si>
  <si>
    <t>Difficulty calibration</t>
  </si>
  <si>
    <t>Course authored-vs-empirical difficulty calibration</t>
  </si>
  <si>
    <t>Empirical first-attempt correct-rate bands vs authored e/m/h tags; mismatch rate and examples.</t>
  </si>
  <si>
    <t>Course question-bank action list</t>
  </si>
  <si>
    <t>Rank questions as retain/revise/drop/review based on low discrimination, extreme difficulty, high wrong answer noise, defect flags.</t>
  </si>
  <si>
    <t>Topic broken-item and difficulty metrics</t>
  </si>
  <si>
    <t>Course misconception prevalence map</t>
  </si>
  <si>
    <t>Top misconception nodes by distractor selections, unique learners affected, and associated topics/units.</t>
  </si>
  <si>
    <t>Topic misconception prevalence</t>
  </si>
  <si>
    <t>Course textual trap backlog</t>
  </si>
  <si>
    <t>Top normalized wrong-answer strings across textual questions, grouped by underlying misconception/format trap.</t>
  </si>
  <si>
    <t>Topic textual misconception lists</t>
  </si>
  <si>
    <t>Course coding success profile</t>
  </si>
  <si>
    <t>First-submit pass, accepted rate, submissions-to-accept, abandonment after N submissions by topic/question.</t>
  </si>
  <si>
    <t>Pacing</t>
  </si>
  <si>
    <t>Course pacing and drift</t>
  </si>
  <si>
    <t>Weekly active learners, weekly completions, class-to-practice lag trend, exam-window spikes.</t>
  </si>
  <si>
    <t>Schedule tables; topic/unit completion and time metrics</t>
  </si>
  <si>
    <t>Resource strategy</t>
  </si>
  <si>
    <t>Course resource effectiveness</t>
  </si>
  <si>
    <t>Resource usage vs mastery; watcher/reader vs skipper deltas, with prior-performance controls if possible.</t>
  </si>
  <si>
    <t>Topic resource-to-performance metrics</t>
  </si>
  <si>
    <t>Course cohort divergence summary</t>
  </si>
  <si>
    <t>Headline metric deltas: completion, mastery, lag, misconception prevalence, time burden, tutor usage.</t>
  </si>
  <si>
    <t>Topic/course headline metrics + NIAT user details</t>
  </si>
  <si>
    <t>Cross-course context</t>
  </si>
  <si>
    <t>Prerequisite correlation signals</t>
  </si>
  <si>
    <t>Python ↔ DSA C++; Math ↔ DSA; Web Dev ↔ React ↔ Node: correlate earlier course mastery with later course outcomes.</t>
  </si>
  <si>
    <t>Course mastery metrics; assessment/Topin scores; semester/course mapping</t>
  </si>
  <si>
    <t>Outcome linkage</t>
  </si>
  <si>
    <t>Assessment/outcome prediction summary</t>
  </si>
  <si>
    <t>Which behaviours predict module quiz/skill assessment/gold-tier outcomes: completion, lag, misconceptions, retries, resource use.</t>
  </si>
  <si>
    <t>curriculum_ops_niat_2025_users_batch_wise_skill_and_graded_assessment_scores; Topin scores; topic metrics</t>
  </si>
  <si>
    <t>Prioritization</t>
  </si>
  <si>
    <t>Course restructure roadmap</t>
  </si>
  <si>
    <t>Top topics, units, questions, misconception nodes, resources to fix, ranked by business impact and data confidence.</t>
  </si>
  <si>
    <t>All topic/course metrics</t>
  </si>
  <si>
    <t>Tracking Gaps &amp; Future Instrumentation</t>
  </si>
  <si>
    <t>Not-tracked or partially tracked metrics separated from the current ELP so current extracts remain realistic.</t>
  </si>
  <si>
    <t>Gap / Not-tracked Metric</t>
  </si>
  <si>
    <t>Current Availability</t>
  </si>
  <si>
    <t>Current workaround in this ELP</t>
  </si>
  <si>
    <t>Future instrumentation / table change</t>
  </si>
  <si>
    <t>Coding raw submitted code</t>
  </si>
  <si>
    <t>Future / Not tracked</t>
  </si>
  <si>
    <t>Use attempt outcomes only: first-submit pass, accepted rate, submissions-to-accept, abandon rate.</t>
  </si>
  <si>
    <t>Sync raw code or privacy-safe code_snapshot_hash + normalized AST/signature where policy permits.</t>
  </si>
  <si>
    <t>Coding test_case_id pass/fail per attempt</t>
  </si>
  <si>
    <t>Cannot compute failure anatomy. Keep coding funnel/pass metrics only.</t>
  </si>
  <si>
    <t>Log failing_test_case_ids, passed_test_case_ids, visible/hidden flag, and result type per submit attempt.</t>
  </si>
  <si>
    <t>Format-only coding failures</t>
  </si>
  <si>
    <t>Not derivable without expected-vs-actual output diff or failure reason.</t>
  </si>
  <si>
    <t>Store failure_reason and normalized diff category: whitespace, precision, missing line, type mismatch, logic.</t>
  </si>
  <si>
    <t>Explanation open and dwell</t>
  </si>
  <si>
    <t>Use subsequent performance only if reveal/explanation events can be inferred; otherwise exclude.</t>
  </si>
  <si>
    <t>Log explanation_opened, dwell_time, reveal_ts, and next_same_node performance link.</t>
  </si>
  <si>
    <t>Reading scroll depth / dwell</t>
  </si>
  <si>
    <t>Use tutorial/resource completion as a proxy where mapped.</t>
  </si>
  <si>
    <t>Log open, scroll depth, active dwell, section viewed, and before/after attempt timing.</t>
  </si>
  <si>
    <t>Relevant Source Tables / Inputs</t>
  </si>
  <si>
    <t>Subset of table documentation mapped to the ELP. The full table-level documentation was used to select derivable metrics.</t>
  </si>
  <si>
    <t>Table</t>
  </si>
  <si>
    <t>Dataset</t>
  </si>
  <si>
    <t>ELP Usage</t>
  </si>
  <si>
    <t>Level(s)</t>
  </si>
  <si>
    <t>Notes</t>
  </si>
  <si>
    <t>content_all_products_unit_wise_content_hierarchy_details</t>
  </si>
  <si>
    <t>content_bases_metabase</t>
  </si>
  <si>
    <t>Course → topic → unit hierarchy, orders, availability, parent-child mapping.</t>
  </si>
  <si>
    <t>All</t>
  </si>
  <si>
    <t>Primary structural spine.</t>
  </si>
  <si>
    <t>content_course_version_wise_content_hierarchy_details</t>
  </si>
  <si>
    <t>Course version hierarchy and topic-unit mapping.</t>
  </si>
  <si>
    <t>Use with crosswalk/session scope.</t>
  </si>
  <si>
    <t>content_question_set_units_questions_details</t>
  </si>
  <si>
    <t>Question catalog inside units, question order, type, content metadata.</t>
  </si>
  <si>
    <t>Unit, Topic, Course</t>
  </si>
  <si>
    <t>Base for MCQ/textual/coding question inventory.</t>
  </si>
  <si>
    <t>content_exam_and_practice_units_question_details</t>
  </si>
  <si>
    <t>Maps exam/practice units to questions and scoring/order.</t>
  </si>
  <si>
    <t>Unit, Topic</t>
  </si>
  <si>
    <t>Useful for question pools.</t>
  </si>
  <si>
    <t>content_all_questions_details</t>
  </si>
  <si>
    <t>Question metadata, type, difficulty, authored attributes.</t>
  </si>
  <si>
    <t>Needed for difficulty calibration.</t>
  </si>
  <si>
    <t>niat_and_intensive_offline_users_details</t>
  </si>
  <si>
    <t>NIAT student cohort attributes: institute, batch, section, coach context.</t>
  </si>
  <si>
    <t>Cohort cuts; pseudonymous learner id only in extracts.</t>
  </si>
  <si>
    <t>curriculum_ops_niat_2025_users_batch_wise_unlocked_units_completion_details</t>
  </si>
  <si>
    <t>NIAT 2025 unlocked units and completion status by user.</t>
  </si>
  <si>
    <t>Core reach/completion denominator.</t>
  </si>
  <si>
    <t>all_users_resource_wise_completion_details</t>
  </si>
  <si>
    <t>User interaction/completion for content resources.</t>
  </si>
  <si>
    <t>Open/completion timestamps and status.</t>
  </si>
  <si>
    <t>Daily user time spent per unit.</t>
  </si>
  <si>
    <t>Time burden and pacing.</t>
  </si>
  <si>
    <t>all_users_question_attempt_details_for_question_set_units</t>
  </si>
  <si>
    <t>Attempt-level logs for question-set units; answer, score, timing.</t>
  </si>
  <si>
    <t>MCQ/textual attempt analysis.</t>
  </si>
  <si>
    <t>all_users_question_wise_responses_summary_details_for_question_set_units</t>
  </si>
  <si>
    <t>Per-user-question first/latest/best attempt metrics and help-seeking.</t>
  </si>
  <si>
    <t>Efficient source for first attempt and best attempt stats.</t>
  </si>
  <si>
    <t>curriculum_ops_exam_practice_question_attempt_details</t>
  </si>
  <si>
    <t>Detailed NIAT exam/practice question attempts linked to topic/course.</t>
  </si>
  <si>
    <t>Useful NIAT 2025 specific question attempts.</t>
  </si>
  <si>
    <t>Attempt-level exam/practice unit outcomes.</t>
  </si>
  <si>
    <t>Scores, attempts, failed/proceed behaviour if present.</t>
  </si>
  <si>
    <t>curriculum_ops_niat_2025_users_batch_wise_quiz_best_attempts_and_completion_details</t>
  </si>
  <si>
    <t>Best quiz attempt and completion for NIAT 2025.</t>
  </si>
  <si>
    <t>Best scores and completion summary.</t>
  </si>
  <si>
    <t>curriculum_ops_niat_2025_users_batch_wise_skill_and_graded_assessment_scores</t>
  </si>
  <si>
    <t>Formal skill and Sem-1 graded assessment scores.</t>
  </si>
  <si>
    <t>Outcome linkage; Sem-2 onwards noted as offline/not present.</t>
  </si>
  <si>
    <t>niat_and_intensive_offline_section_wise_daily_learning_schedule_details</t>
  </si>
  <si>
    <t>Section-wise scheduled sessions and delivery details.</t>
  </si>
  <si>
    <t>Class-to-practice lag and teaching calendar.</t>
  </si>
  <si>
    <t>niat_schedule_details_as_per_prod_sequence</t>
  </si>
  <si>
    <t>Official curriculum plan and session sequence.</t>
  </si>
  <si>
    <t>Topic, Course</t>
  </si>
  <si>
    <t>Ordering and planned progress.</t>
  </si>
  <si>
    <t>all_users_video_session_wise_language_wise_last_watched_duration</t>
  </si>
  <si>
    <t>content_analytics</t>
  </si>
  <si>
    <t>Video watch-through proxy via last watched duration.</t>
  </si>
  <si>
    <t>Does not provide full event-level drop-off curve.</t>
  </si>
  <si>
    <t>content_learning_resource_set_wise_learning_resource_details</t>
  </si>
  <si>
    <t>Maps individual resources to resource sets/units.</t>
  </si>
  <si>
    <t>Resource inventory and unit mapping.</t>
  </si>
  <si>
    <t>all_users_tutorial_steps_completion_details</t>
  </si>
  <si>
    <t>Tutorial step unlock/completion.</t>
  </si>
  <si>
    <t>Reading/tutorial consumption proxy.</t>
  </si>
  <si>
    <t>content_ai_bot_details</t>
  </si>
  <si>
    <t>Bot-to-content mapping.</t>
  </si>
  <si>
    <t>Attach AI tutor usage to unit/question.</t>
  </si>
  <si>
    <t>all_users_bot_raw_conversation_details</t>
  </si>
  <si>
    <t>Raw AI bot conversations and metadata.</t>
  </si>
  <si>
    <t>Tutor invocation and topic mining.</t>
  </si>
  <si>
    <t>content_feedbacks_entity_wise_question_enums</t>
  </si>
  <si>
    <t>Feedback question configuration.</t>
  </si>
  <si>
    <t>Feedback taxonomy.</t>
  </si>
  <si>
    <t>all_users_feedbacks_question_enum_wise_user_answers</t>
  </si>
  <si>
    <t>Feedback answers by user/content.</t>
  </si>
  <si>
    <t>Helpful/complaint metrics.</t>
  </si>
  <si>
    <t>MCQ question-wise attempts (new base)</t>
  </si>
  <si>
    <t>New base table per prompt</t>
  </si>
  <si>
    <t>Correct/incorrect and selected option/user answer per non-coding attempt.</t>
  </si>
  <si>
    <t>Needed for option distribution and textual wrong answer top-N.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</si>
</sst>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rlito"/>
      <scheme val="minor"/>
    </font>
    <font>
      <b/>
      <sz val="14.0"/>
      <color rgb="FFFFFFFF"/>
      <name val="Carlito"/>
    </font>
    <font>
      <i/>
      <sz val="10.0"/>
      <color rgb="FF374151"/>
      <name val="Carlito"/>
    </font>
    <font>
      <b/>
      <sz val="11.0"/>
      <color rgb="FF111827"/>
      <name val="Carlito"/>
    </font>
    <font>
      <sz val="9.0"/>
      <color rgb="FF111827"/>
      <name val="Carlito"/>
    </font>
    <font>
      <sz val="9.0"/>
      <color theme="1"/>
      <name val="Carlito"/>
    </font>
  </fonts>
  <fills count="5">
    <fill>
      <patternFill patternType="none"/>
    </fill>
    <fill>
      <patternFill patternType="lightGray"/>
    </fill>
    <fill>
      <patternFill patternType="solid">
        <fgColor rgb="FF1E3A8A"/>
        <bgColor rgb="FF1E3A8A"/>
      </patternFill>
    </fill>
    <fill>
      <patternFill patternType="solid">
        <fgColor rgb="FFEEF2FF"/>
        <bgColor rgb="FFEEF2FF"/>
      </patternFill>
    </fill>
    <fill>
      <patternFill patternType="solid">
        <fgColor rgb="FFDBEAFE"/>
        <bgColor rgb="FFDBEAFE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vertical="center"/>
    </xf>
    <xf borderId="0" fillId="3" fontId="2" numFmtId="0" xfId="0" applyAlignment="1" applyFill="1" applyFont="1">
      <alignment shrinkToFit="0" vertical="top" wrapText="1"/>
    </xf>
    <xf borderId="0" fillId="4" fontId="3" numFmtId="0" xfId="0" applyAlignment="1" applyFill="1" applyFont="1">
      <alignment horizontal="center" shrinkToFit="0" vertical="center" wrapText="1"/>
    </xf>
    <xf borderId="0" fillId="4" fontId="3" numFmtId="0" xfId="0" applyAlignment="1" applyFont="1">
      <alignment horizontal="center"/>
    </xf>
    <xf borderId="0" fillId="0" fontId="4" numFmtId="0" xfId="0" applyAlignment="1" applyFont="1">
      <alignment shrinkToFit="0" vertical="top" wrapText="1"/>
    </xf>
    <xf borderId="0" fillId="0" fontId="5" numFmtId="0" xfId="0" applyAlignment="1" applyFont="1">
      <alignment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4" numFmtId="0" xfId="0" applyAlignment="1" applyFont="1">
      <alignment shrinkToFit="0" vertical="top" wrapText="1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CFCE7"/>
          <bgColor rgb="FFDCFCE7"/>
        </patternFill>
      </fill>
      <border/>
    </dxf>
    <dxf>
      <font/>
      <fill>
        <patternFill patternType="solid">
          <fgColor rgb="FFFEF9C3"/>
          <bgColor rgb="FFFEF9C3"/>
        </patternFill>
      </fill>
      <border/>
    </dxf>
    <dxf>
      <font/>
      <fill>
        <patternFill patternType="solid">
          <fgColor rgb="FFFEE2E2"/>
          <bgColor rgb="FFFEE2E2"/>
        </patternFill>
      </fill>
      <border/>
    </dxf>
    <dxf>
      <font/>
      <fill>
        <patternFill patternType="solid">
          <fgColor rgb="FFE0E7FF"/>
          <bgColor rgb="FFE0E7FF"/>
        </patternFill>
      </fill>
      <border/>
    </dxf>
  </dxfs>
  <tableStyles count="6">
    <tableStyle count="3" pivot="0" name="README-style">
      <tableStyleElement dxfId="1" type="headerRow"/>
      <tableStyleElement dxfId="2" type="firstRowStripe"/>
      <tableStyleElement dxfId="3" type="secondRowStripe"/>
    </tableStyle>
    <tableStyle count="3" pivot="0" name="Unit Level-style">
      <tableStyleElement dxfId="1" type="headerRow"/>
      <tableStyleElement dxfId="2" type="firstRowStripe"/>
      <tableStyleElement dxfId="3" type="secondRowStripe"/>
    </tableStyle>
    <tableStyle count="3" pivot="0" name="Topic Level-style">
      <tableStyleElement dxfId="1" type="headerRow"/>
      <tableStyleElement dxfId="2" type="firstRowStripe"/>
      <tableStyleElement dxfId="3" type="secondRowStripe"/>
    </tableStyle>
    <tableStyle count="3" pivot="0" name="Course Level-style">
      <tableStyleElement dxfId="1" type="headerRow"/>
      <tableStyleElement dxfId="2" type="firstRowStripe"/>
      <tableStyleElement dxfId="3" type="secondRowStripe"/>
    </tableStyle>
    <tableStyle count="3" pivot="0" name="Tracking Gaps-style">
      <tableStyleElement dxfId="1" type="headerRow"/>
      <tableStyleElement dxfId="2" type="firstRowStripe"/>
      <tableStyleElement dxfId="3" type="secondRowStripe"/>
    </tableStyle>
    <tableStyle count="3" pivot="0" name="Source Tabl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B11" displayName="Table_1" name="Table_1" id="1">
  <tableColumns count="2">
    <tableColumn name="Section" id="1"/>
    <tableColumn name="Details" id="2"/>
  </tableColumns>
  <tableStyleInfo name="README-style" showColumnStripes="0" showFirstColumn="1" showLastColumn="1" showRowStripes="1"/>
</table>
</file>

<file path=xl/tables/table2.xml><?xml version="1.0" encoding="utf-8"?>
<table xmlns="http://schemas.openxmlformats.org/spreadsheetml/2006/main" ref="A3:F27" displayName="Table_2" name="Table_2" id="2">
  <tableColumns count="6">
    <tableColumn name="Metric Cluster" id="1"/>
    <tableColumn name="Metric / Output" id="2"/>
    <tableColumn name="Definition / Business Logic" id="3"/>
    <tableColumn name="Primary Sources / Inputs" id="4"/>
    <tableColumn name="Derivation Status" id="5"/>
    <tableColumn name="Roll-up / Alignment" id="6"/>
  </tableColumns>
  <tableStyleInfo name="Unit Level-style" showColumnStripes="0" showFirstColumn="1" showLastColumn="1" showRowStripes="1"/>
</table>
</file>

<file path=xl/tables/table3.xml><?xml version="1.0" encoding="utf-8"?>
<table xmlns="http://schemas.openxmlformats.org/spreadsheetml/2006/main" ref="A3:F16" displayName="Table_3" name="Table_3" id="3">
  <tableColumns count="6">
    <tableColumn name="Metric Cluster" id="1"/>
    <tableColumn name="Metric / Output" id="2"/>
    <tableColumn name="Definition / Business Logic" id="3"/>
    <tableColumn name="Primary Sources / Inputs" id="4"/>
    <tableColumn name="Derivation Status" id="5"/>
    <tableColumn name="Roll-up / Alignment" id="6"/>
  </tableColumns>
  <tableStyleInfo name="Topic Level-style" showColumnStripes="0" showFirstColumn="1" showLastColumn="1" showRowStripes="1"/>
</table>
</file>

<file path=xl/tables/table4.xml><?xml version="1.0" encoding="utf-8"?>
<table xmlns="http://schemas.openxmlformats.org/spreadsheetml/2006/main" ref="A3:E18" displayName="Table_4" name="Table_4" id="4">
  <tableColumns count="5">
    <tableColumn name="Metric Cluster" id="1"/>
    <tableColumn name="Metric / Output" id="2"/>
    <tableColumn name="Definition / Business Logic" id="3"/>
    <tableColumn name="Primary Sources / Inputs" id="4"/>
    <tableColumn name="Derivation Status" id="5"/>
  </tableColumns>
  <tableStyleInfo name="Course Level-style" showColumnStripes="0" showFirstColumn="1" showLastColumn="1" showRowStripes="1"/>
</table>
</file>

<file path=xl/tables/table5.xml><?xml version="1.0" encoding="utf-8"?>
<table xmlns="http://schemas.openxmlformats.org/spreadsheetml/2006/main" ref="A3:D8" displayName="Table_5" name="Table_5" id="5">
  <tableColumns count="4">
    <tableColumn name="Gap / Not-tracked Metric" id="1"/>
    <tableColumn name="Current Availability" id="2"/>
    <tableColumn name="Current workaround in this ELP" id="3"/>
    <tableColumn name="Future instrumentation / table change" id="4"/>
  </tableColumns>
  <tableStyleInfo name="Tracking Gaps-style" showColumnStripes="0" showFirstColumn="1" showLastColumn="1" showRowStripes="1"/>
</table>
</file>

<file path=xl/tables/table6.xml><?xml version="1.0" encoding="utf-8"?>
<table xmlns="http://schemas.openxmlformats.org/spreadsheetml/2006/main" ref="A3:E28" displayName="Table_6" name="Table_6" id="6">
  <tableColumns count="5">
    <tableColumn name="Table" id="1"/>
    <tableColumn name="Dataset" id="2"/>
    <tableColumn name="ELP Usage" id="3"/>
    <tableColumn name="Level(s)" id="4"/>
    <tableColumn name="Notes" id="5"/>
  </tableColumns>
  <tableStyleInfo name="Source Tabl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0"/>
    <col customWidth="1" min="2" max="2" width="110.0"/>
    <col customWidth="1" min="3" max="3" width="8.63"/>
    <col customWidth="1" min="4" max="4" width="18.0"/>
    <col customWidth="1" min="5" max="6" width="14.0"/>
    <col customWidth="1" min="7" max="7" width="16.0"/>
    <col customWidth="1" min="8" max="26" width="8.63"/>
  </cols>
  <sheetData>
    <row r="1" ht="27.75" customHeight="1">
      <c r="A1" s="1" t="s">
        <v>0</v>
      </c>
    </row>
    <row r="2" ht="36.0" customHeight="1">
      <c r="A2" s="2"/>
    </row>
    <row r="3" ht="31.5" customHeight="1">
      <c r="A3" s="3" t="s">
        <v>1</v>
      </c>
      <c r="B3" s="3" t="s">
        <v>2</v>
      </c>
      <c r="D3" s="4" t="s">
        <v>3</v>
      </c>
      <c r="E3" s="4" t="s">
        <v>4</v>
      </c>
      <c r="F3" s="4" t="s">
        <v>5</v>
      </c>
      <c r="G3" s="4" t="s">
        <v>6</v>
      </c>
    </row>
    <row r="4" ht="60.0" customHeight="1">
      <c r="A4" s="5" t="s">
        <v>7</v>
      </c>
      <c r="B4" s="5" t="s">
        <v>8</v>
      </c>
      <c r="D4" s="6" t="s">
        <v>9</v>
      </c>
      <c r="E4" s="6">
        <f>COUNTA('Unit Level'!B4:B200)</f>
        <v>23</v>
      </c>
      <c r="F4" s="6">
        <f>COUNTIF('Unit Level'!E4:E200,"Yes")</f>
        <v>18</v>
      </c>
      <c r="G4" s="6">
        <f>COUNTIF('Unit Level'!E4:E200,"Partial")</f>
        <v>5</v>
      </c>
    </row>
    <row r="5" ht="60.0" customHeight="1">
      <c r="A5" s="5" t="s">
        <v>10</v>
      </c>
      <c r="B5" s="5" t="s">
        <v>11</v>
      </c>
      <c r="D5" s="6" t="s">
        <v>12</v>
      </c>
      <c r="E5" s="6">
        <f>COUNTA('Topic Level'!B4:B198)</f>
        <v>13</v>
      </c>
      <c r="F5" s="6">
        <f>COUNTIF('Topic Level'!E4:E198,"Yes")</f>
        <v>11</v>
      </c>
      <c r="G5" s="6">
        <f>COUNTIF('Topic Level'!E4:E198,"Partial")</f>
        <v>2</v>
      </c>
    </row>
    <row r="6" ht="60.0" customHeight="1">
      <c r="A6" s="5" t="s">
        <v>13</v>
      </c>
      <c r="B6" s="5" t="s">
        <v>14</v>
      </c>
      <c r="D6" s="6" t="s">
        <v>15</v>
      </c>
      <c r="E6" s="6">
        <f>COUNTA('Course Level'!B4:B200)</f>
        <v>15</v>
      </c>
      <c r="F6" s="6">
        <f>COUNTIF('Course Level'!E4:E200,"Yes")</f>
        <v>10</v>
      </c>
      <c r="G6" s="6">
        <f>COUNTIF('Course Level'!E4:E200,"Partial")</f>
        <v>4</v>
      </c>
    </row>
    <row r="7" ht="60.0" customHeight="1">
      <c r="A7" s="5" t="s">
        <v>16</v>
      </c>
      <c r="B7" s="5" t="s">
        <v>17</v>
      </c>
    </row>
    <row r="8" ht="60.0" customHeight="1">
      <c r="A8" s="5" t="s">
        <v>18</v>
      </c>
      <c r="B8" s="5" t="s">
        <v>19</v>
      </c>
    </row>
    <row r="9" ht="60.0" customHeight="1">
      <c r="A9" s="5" t="s">
        <v>20</v>
      </c>
      <c r="B9" s="5" t="s">
        <v>21</v>
      </c>
    </row>
    <row r="10" ht="60.0" customHeight="1">
      <c r="A10" s="5" t="s">
        <v>22</v>
      </c>
      <c r="B10" s="5" t="s">
        <v>23</v>
      </c>
    </row>
    <row r="11" ht="60.0" customHeight="1">
      <c r="A11" s="5" t="s">
        <v>24</v>
      </c>
      <c r="B11" s="5" t="s">
        <v>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A2:B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8.0"/>
    <col customWidth="1" min="2" max="2" width="28.0"/>
    <col customWidth="1" min="3" max="3" width="43.75"/>
    <col customWidth="1" min="4" max="4" width="36.63"/>
    <col customWidth="1" min="5" max="5" width="18.0"/>
    <col customWidth="1" min="6" max="6" width="40.0"/>
    <col customWidth="1" min="7" max="21" width="8.63"/>
  </cols>
  <sheetData>
    <row r="1" ht="27.75" customHeight="1">
      <c r="A1" s="1" t="s">
        <v>26</v>
      </c>
    </row>
    <row r="2" ht="36.0" customHeight="1">
      <c r="A2" s="2" t="s">
        <v>27</v>
      </c>
    </row>
    <row r="3" ht="31.5" customHeight="1">
      <c r="A3" s="3" t="s">
        <v>28</v>
      </c>
      <c r="B3" s="3" t="s">
        <v>29</v>
      </c>
      <c r="C3" s="3" t="s">
        <v>30</v>
      </c>
      <c r="D3" s="3" t="s">
        <v>31</v>
      </c>
      <c r="E3" s="3" t="s">
        <v>32</v>
      </c>
      <c r="F3" s="3" t="s">
        <v>33</v>
      </c>
    </row>
    <row r="4" ht="60.0" hidden="1" customHeight="1">
      <c r="A4" s="5" t="s">
        <v>34</v>
      </c>
      <c r="B4" s="5" t="s">
        <v>35</v>
      </c>
      <c r="C4" s="5" t="s">
        <v>36</v>
      </c>
      <c r="D4" s="7" t="s">
        <v>37</v>
      </c>
      <c r="E4" s="5" t="s">
        <v>38</v>
      </c>
      <c r="F4" s="5" t="s">
        <v>39</v>
      </c>
    </row>
    <row r="5" ht="60.0" customHeight="1">
      <c r="A5" s="5" t="s">
        <v>40</v>
      </c>
      <c r="B5" s="5" t="s">
        <v>41</v>
      </c>
      <c r="C5" s="5" t="s">
        <v>42</v>
      </c>
      <c r="D5" s="7" t="s">
        <v>43</v>
      </c>
      <c r="E5" s="5" t="s">
        <v>38</v>
      </c>
      <c r="F5" s="5" t="s">
        <v>44</v>
      </c>
    </row>
    <row r="6" ht="60.0" customHeight="1">
      <c r="A6" s="5" t="s">
        <v>40</v>
      </c>
      <c r="B6" s="5" t="s">
        <v>45</v>
      </c>
      <c r="C6" s="5" t="s">
        <v>46</v>
      </c>
      <c r="D6" s="7" t="s">
        <v>47</v>
      </c>
      <c r="E6" s="5" t="s">
        <v>38</v>
      </c>
      <c r="F6" s="5" t="s">
        <v>48</v>
      </c>
    </row>
    <row r="7" ht="60.0" customHeight="1">
      <c r="A7" s="5" t="s">
        <v>40</v>
      </c>
      <c r="B7" s="5" t="s">
        <v>49</v>
      </c>
      <c r="C7" s="5" t="s">
        <v>50</v>
      </c>
      <c r="D7" s="5" t="s">
        <v>51</v>
      </c>
      <c r="E7" s="5" t="s">
        <v>38</v>
      </c>
      <c r="F7" s="5" t="s">
        <v>52</v>
      </c>
    </row>
    <row r="8" ht="60.0" customHeight="1">
      <c r="A8" s="5" t="s">
        <v>40</v>
      </c>
      <c r="B8" s="5" t="s">
        <v>53</v>
      </c>
      <c r="C8" s="5" t="s">
        <v>54</v>
      </c>
      <c r="D8" s="5" t="s">
        <v>55</v>
      </c>
      <c r="E8" s="5" t="s">
        <v>38</v>
      </c>
      <c r="F8" s="5" t="s">
        <v>56</v>
      </c>
    </row>
    <row r="9" ht="60.0" customHeight="1">
      <c r="A9" s="5" t="s">
        <v>57</v>
      </c>
      <c r="B9" s="5" t="s">
        <v>58</v>
      </c>
      <c r="C9" s="5" t="s">
        <v>59</v>
      </c>
      <c r="D9" s="5" t="s">
        <v>60</v>
      </c>
      <c r="E9" s="5" t="s">
        <v>38</v>
      </c>
      <c r="F9" s="5" t="s">
        <v>61</v>
      </c>
    </row>
    <row r="10" ht="60.0" customHeight="1">
      <c r="A10" s="5" t="s">
        <v>57</v>
      </c>
      <c r="B10" s="5" t="s">
        <v>62</v>
      </c>
      <c r="C10" s="5" t="s">
        <v>63</v>
      </c>
      <c r="D10" s="5" t="s">
        <v>64</v>
      </c>
      <c r="E10" s="5" t="s">
        <v>38</v>
      </c>
      <c r="F10" s="5" t="s">
        <v>65</v>
      </c>
    </row>
    <row r="11" ht="60.0" customHeight="1">
      <c r="A11" s="5" t="s">
        <v>57</v>
      </c>
      <c r="B11" s="5" t="s">
        <v>66</v>
      </c>
      <c r="C11" s="5" t="s">
        <v>67</v>
      </c>
      <c r="D11" s="7" t="s">
        <v>68</v>
      </c>
      <c r="E11" s="5" t="s">
        <v>69</v>
      </c>
      <c r="F11" s="5" t="s">
        <v>70</v>
      </c>
    </row>
    <row r="12" ht="60.0" customHeight="1">
      <c r="A12" s="5" t="s">
        <v>71</v>
      </c>
      <c r="B12" s="5" t="s">
        <v>72</v>
      </c>
      <c r="C12" s="5" t="s">
        <v>73</v>
      </c>
      <c r="D12" s="5" t="s">
        <v>74</v>
      </c>
      <c r="E12" s="5" t="s">
        <v>38</v>
      </c>
      <c r="F12" s="5" t="s">
        <v>75</v>
      </c>
    </row>
    <row r="13" ht="60.0" customHeight="1">
      <c r="A13" s="5" t="s">
        <v>71</v>
      </c>
      <c r="B13" s="5" t="s">
        <v>76</v>
      </c>
      <c r="C13" s="5" t="s">
        <v>77</v>
      </c>
      <c r="D13" s="7" t="s">
        <v>78</v>
      </c>
      <c r="E13" s="5" t="s">
        <v>38</v>
      </c>
      <c r="F13" s="5" t="s">
        <v>79</v>
      </c>
    </row>
    <row r="14" ht="60.0" customHeight="1">
      <c r="A14" s="5" t="s">
        <v>80</v>
      </c>
      <c r="B14" s="5" t="s">
        <v>81</v>
      </c>
      <c r="C14" s="5" t="s">
        <v>82</v>
      </c>
      <c r="D14" s="7" t="s">
        <v>83</v>
      </c>
      <c r="E14" s="5" t="s">
        <v>69</v>
      </c>
      <c r="F14" s="5" t="s">
        <v>84</v>
      </c>
    </row>
    <row r="15" ht="60.0" customHeight="1">
      <c r="A15" s="5" t="s">
        <v>80</v>
      </c>
      <c r="B15" s="5" t="s">
        <v>85</v>
      </c>
      <c r="C15" s="5" t="s">
        <v>86</v>
      </c>
      <c r="D15" s="7" t="s">
        <v>87</v>
      </c>
      <c r="E15" s="5" t="s">
        <v>38</v>
      </c>
      <c r="F15" s="5" t="s">
        <v>88</v>
      </c>
    </row>
    <row r="16" ht="60.0" customHeight="1">
      <c r="A16" s="5" t="s">
        <v>80</v>
      </c>
      <c r="B16" s="5" t="s">
        <v>89</v>
      </c>
      <c r="C16" s="5" t="s">
        <v>90</v>
      </c>
      <c r="D16" s="5" t="s">
        <v>91</v>
      </c>
      <c r="E16" s="5" t="s">
        <v>38</v>
      </c>
      <c r="F16" s="5" t="s">
        <v>92</v>
      </c>
    </row>
    <row r="17" ht="60.0" customHeight="1">
      <c r="A17" s="5" t="s">
        <v>80</v>
      </c>
      <c r="B17" s="5" t="s">
        <v>93</v>
      </c>
      <c r="C17" s="5" t="s">
        <v>94</v>
      </c>
      <c r="D17" s="7" t="s">
        <v>95</v>
      </c>
      <c r="E17" s="5" t="s">
        <v>38</v>
      </c>
      <c r="F17" s="5" t="s">
        <v>96</v>
      </c>
    </row>
    <row r="18" ht="60.0" customHeight="1">
      <c r="A18" s="5" t="s">
        <v>97</v>
      </c>
      <c r="B18" s="5" t="s">
        <v>98</v>
      </c>
      <c r="C18" s="5" t="s">
        <v>99</v>
      </c>
      <c r="D18" s="7" t="s">
        <v>100</v>
      </c>
      <c r="E18" s="5" t="s">
        <v>38</v>
      </c>
      <c r="F18" s="5" t="s">
        <v>101</v>
      </c>
    </row>
    <row r="19" ht="60.0" customHeight="1">
      <c r="A19" s="5" t="s">
        <v>97</v>
      </c>
      <c r="B19" s="5" t="s">
        <v>102</v>
      </c>
      <c r="C19" s="5" t="s">
        <v>103</v>
      </c>
      <c r="D19" s="5" t="s">
        <v>104</v>
      </c>
      <c r="E19" s="5" t="s">
        <v>38</v>
      </c>
      <c r="F19" s="5" t="s">
        <v>105</v>
      </c>
    </row>
    <row r="20" ht="60.0" customHeight="1">
      <c r="A20" s="5" t="s">
        <v>106</v>
      </c>
      <c r="B20" s="5" t="s">
        <v>107</v>
      </c>
      <c r="C20" s="5" t="s">
        <v>108</v>
      </c>
      <c r="D20" s="5" t="s">
        <v>109</v>
      </c>
      <c r="E20" s="5" t="s">
        <v>38</v>
      </c>
      <c r="F20" s="5" t="s">
        <v>110</v>
      </c>
    </row>
    <row r="21" ht="60.0" customHeight="1">
      <c r="A21" s="5" t="s">
        <v>111</v>
      </c>
      <c r="B21" s="5" t="s">
        <v>112</v>
      </c>
      <c r="C21" s="5" t="s">
        <v>113</v>
      </c>
      <c r="D21" s="5" t="s">
        <v>114</v>
      </c>
      <c r="E21" s="5" t="s">
        <v>69</v>
      </c>
      <c r="F21" s="5" t="s">
        <v>115</v>
      </c>
    </row>
    <row r="22" ht="60.0" customHeight="1">
      <c r="A22" s="5" t="s">
        <v>116</v>
      </c>
      <c r="B22" s="5" t="s">
        <v>117</v>
      </c>
      <c r="C22" s="5" t="s">
        <v>118</v>
      </c>
      <c r="D22" s="7" t="s">
        <v>119</v>
      </c>
      <c r="E22" s="5" t="s">
        <v>69</v>
      </c>
      <c r="F22" s="5" t="s">
        <v>120</v>
      </c>
    </row>
    <row r="23" ht="60.0" customHeight="1">
      <c r="A23" s="5" t="s">
        <v>121</v>
      </c>
      <c r="B23" s="5" t="s">
        <v>122</v>
      </c>
      <c r="C23" s="5" t="s">
        <v>123</v>
      </c>
      <c r="D23" s="5" t="s">
        <v>124</v>
      </c>
      <c r="E23" s="5" t="s">
        <v>38</v>
      </c>
      <c r="F23" s="5" t="s">
        <v>125</v>
      </c>
    </row>
    <row r="24" ht="60.0" customHeight="1">
      <c r="A24" s="5" t="s">
        <v>121</v>
      </c>
      <c r="B24" s="5" t="s">
        <v>126</v>
      </c>
      <c r="C24" s="5" t="s">
        <v>127</v>
      </c>
      <c r="D24" s="5" t="s">
        <v>128</v>
      </c>
      <c r="E24" s="5" t="s">
        <v>38</v>
      </c>
      <c r="F24" s="5" t="s">
        <v>129</v>
      </c>
    </row>
    <row r="25" ht="60.0" customHeight="1">
      <c r="A25" s="5" t="s">
        <v>130</v>
      </c>
      <c r="B25" s="5" t="s">
        <v>131</v>
      </c>
      <c r="C25" s="5" t="s">
        <v>132</v>
      </c>
      <c r="D25" s="5" t="s">
        <v>133</v>
      </c>
      <c r="E25" s="5" t="s">
        <v>38</v>
      </c>
      <c r="F25" s="5" t="s">
        <v>134</v>
      </c>
    </row>
    <row r="26" ht="15.75" customHeight="1">
      <c r="A26" s="7" t="s">
        <v>135</v>
      </c>
      <c r="B26" s="5" t="s">
        <v>136</v>
      </c>
      <c r="C26" s="7" t="s">
        <v>137</v>
      </c>
      <c r="D26" s="5" t="s">
        <v>138</v>
      </c>
      <c r="E26" s="5" t="s">
        <v>69</v>
      </c>
      <c r="F26" s="7" t="s">
        <v>139</v>
      </c>
    </row>
    <row r="27" ht="15.75" customHeight="1">
      <c r="A27" s="7"/>
      <c r="B27" s="7"/>
      <c r="C27" s="8"/>
      <c r="D27" s="9"/>
      <c r="E27" s="9"/>
      <c r="F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conditionalFormatting sqref="E4:E26">
    <cfRule type="expression" dxfId="4" priority="1">
      <formula>E4="Yes"</formula>
    </cfRule>
  </conditionalFormatting>
  <conditionalFormatting sqref="E4:E26">
    <cfRule type="expression" dxfId="5" priority="2">
      <formula>ISNUMBER(SEARCH("Partial",E4))</formula>
    </cfRule>
  </conditionalFormatting>
  <conditionalFormatting sqref="E4:E26">
    <cfRule type="expression" dxfId="6" priority="3">
      <formula>OR(ISNUMBER(SEARCH("Not tracked",E4)),ISNUMBER(SEARCH("Future",E4)))</formula>
    </cfRule>
  </conditionalFormatting>
  <conditionalFormatting sqref="E4:E26">
    <cfRule type="expression" dxfId="7" priority="4">
      <formula>ISNUMBER(SEARCH("Needs",E4))</formula>
    </cfRule>
  </conditionalFormatting>
  <dataValidations>
    <dataValidation type="list" allowBlank="1" sqref="E4:E26">
      <formula1>"Yes,Partial,Needs input/crosswalk,Future / Not tracked"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8.0"/>
    <col customWidth="1" min="2" max="2" width="30.0"/>
    <col customWidth="1" min="3" max="3" width="54.0"/>
    <col customWidth="1" min="4" max="4" width="44.0"/>
    <col customWidth="1" min="5" max="5" width="18.0"/>
    <col customWidth="1" min="6" max="6" width="40.0"/>
    <col customWidth="1" min="7" max="21" width="8.63"/>
  </cols>
  <sheetData>
    <row r="1" ht="27.75" hidden="1" customHeight="1">
      <c r="A1" s="1" t="s">
        <v>140</v>
      </c>
    </row>
    <row r="2" ht="36.0" hidden="1" customHeight="1">
      <c r="A2" s="2" t="s">
        <v>141</v>
      </c>
    </row>
    <row r="3" ht="31.5" customHeight="1">
      <c r="A3" s="3" t="s">
        <v>28</v>
      </c>
      <c r="B3" s="3" t="s">
        <v>29</v>
      </c>
      <c r="C3" s="3" t="s">
        <v>30</v>
      </c>
      <c r="D3" s="3" t="s">
        <v>31</v>
      </c>
      <c r="E3" s="3" t="s">
        <v>32</v>
      </c>
      <c r="F3" s="3" t="s">
        <v>33</v>
      </c>
    </row>
    <row r="4" ht="60.0" hidden="1" customHeight="1">
      <c r="A4" s="5" t="s">
        <v>142</v>
      </c>
      <c r="B4" s="5" t="s">
        <v>143</v>
      </c>
      <c r="C4" s="5" t="s">
        <v>144</v>
      </c>
      <c r="D4" s="5" t="s">
        <v>145</v>
      </c>
      <c r="E4" s="5" t="s">
        <v>38</v>
      </c>
      <c r="F4" s="5" t="s">
        <v>146</v>
      </c>
    </row>
    <row r="5" ht="60.0" customHeight="1">
      <c r="A5" s="5" t="s">
        <v>40</v>
      </c>
      <c r="B5" s="5" t="s">
        <v>147</v>
      </c>
      <c r="C5" s="5" t="s">
        <v>148</v>
      </c>
      <c r="D5" s="5" t="s">
        <v>149</v>
      </c>
      <c r="E5" s="5" t="s">
        <v>38</v>
      </c>
      <c r="F5" s="5" t="s">
        <v>150</v>
      </c>
    </row>
    <row r="6" ht="60.0" customHeight="1">
      <c r="A6" s="5" t="s">
        <v>40</v>
      </c>
      <c r="B6" s="5" t="s">
        <v>151</v>
      </c>
      <c r="C6" s="5" t="s">
        <v>152</v>
      </c>
      <c r="D6" s="5" t="s">
        <v>153</v>
      </c>
      <c r="E6" s="5" t="s">
        <v>38</v>
      </c>
      <c r="F6" s="5" t="s">
        <v>154</v>
      </c>
    </row>
    <row r="7" ht="60.0" customHeight="1">
      <c r="A7" s="5" t="s">
        <v>57</v>
      </c>
      <c r="B7" s="5" t="s">
        <v>155</v>
      </c>
      <c r="C7" s="5" t="s">
        <v>156</v>
      </c>
      <c r="D7" s="5" t="s">
        <v>157</v>
      </c>
      <c r="E7" s="5" t="s">
        <v>38</v>
      </c>
      <c r="F7" s="5" t="s">
        <v>158</v>
      </c>
    </row>
    <row r="8" ht="60.0" customHeight="1">
      <c r="A8" s="5" t="s">
        <v>57</v>
      </c>
      <c r="B8" s="5" t="s">
        <v>159</v>
      </c>
      <c r="C8" s="5" t="s">
        <v>160</v>
      </c>
      <c r="D8" s="5" t="s">
        <v>161</v>
      </c>
      <c r="E8" s="5" t="s">
        <v>38</v>
      </c>
      <c r="F8" s="5" t="s">
        <v>162</v>
      </c>
    </row>
    <row r="9" ht="60.0" customHeight="1">
      <c r="A9" s="5" t="s">
        <v>163</v>
      </c>
      <c r="B9" s="5" t="s">
        <v>164</v>
      </c>
      <c r="C9" s="5" t="s">
        <v>165</v>
      </c>
      <c r="D9" s="5" t="s">
        <v>166</v>
      </c>
      <c r="E9" s="5" t="s">
        <v>38</v>
      </c>
      <c r="F9" s="5" t="s">
        <v>167</v>
      </c>
    </row>
    <row r="10" ht="60.0" customHeight="1">
      <c r="A10" s="5" t="s">
        <v>168</v>
      </c>
      <c r="B10" s="5" t="s">
        <v>169</v>
      </c>
      <c r="C10" s="5" t="s">
        <v>170</v>
      </c>
      <c r="D10" s="5" t="s">
        <v>171</v>
      </c>
      <c r="E10" s="5" t="s">
        <v>38</v>
      </c>
      <c r="F10" s="5" t="s">
        <v>172</v>
      </c>
    </row>
    <row r="11" ht="60.0" customHeight="1">
      <c r="A11" s="5" t="s">
        <v>168</v>
      </c>
      <c r="B11" s="5" t="s">
        <v>173</v>
      </c>
      <c r="C11" s="5" t="s">
        <v>174</v>
      </c>
      <c r="D11" s="5" t="s">
        <v>175</v>
      </c>
      <c r="E11" s="5" t="s">
        <v>38</v>
      </c>
      <c r="F11" s="5" t="s">
        <v>176</v>
      </c>
    </row>
    <row r="12" ht="60.0" customHeight="1">
      <c r="A12" s="5" t="s">
        <v>177</v>
      </c>
      <c r="B12" s="5" t="s">
        <v>178</v>
      </c>
      <c r="C12" s="5" t="s">
        <v>179</v>
      </c>
      <c r="D12" s="5" t="s">
        <v>180</v>
      </c>
      <c r="E12" s="5" t="s">
        <v>69</v>
      </c>
      <c r="F12" s="5" t="s">
        <v>181</v>
      </c>
    </row>
    <row r="13" ht="60.0" customHeight="1">
      <c r="A13" s="5" t="s">
        <v>71</v>
      </c>
      <c r="B13" s="5" t="s">
        <v>182</v>
      </c>
      <c r="C13" s="5" t="s">
        <v>183</v>
      </c>
      <c r="D13" s="5" t="s">
        <v>184</v>
      </c>
      <c r="E13" s="5" t="s">
        <v>38</v>
      </c>
      <c r="F13" s="5" t="s">
        <v>185</v>
      </c>
    </row>
    <row r="14" ht="60.0" customHeight="1">
      <c r="A14" s="5" t="s">
        <v>71</v>
      </c>
      <c r="B14" s="5" t="s">
        <v>186</v>
      </c>
      <c r="C14" s="5" t="s">
        <v>187</v>
      </c>
      <c r="D14" s="5" t="s">
        <v>188</v>
      </c>
      <c r="E14" s="5" t="s">
        <v>38</v>
      </c>
      <c r="F14" s="5" t="s">
        <v>189</v>
      </c>
    </row>
    <row r="15" ht="60.0" hidden="1" customHeight="1">
      <c r="A15" s="5" t="s">
        <v>116</v>
      </c>
      <c r="B15" s="5" t="s">
        <v>190</v>
      </c>
      <c r="C15" s="5" t="s">
        <v>191</v>
      </c>
      <c r="D15" s="5" t="s">
        <v>192</v>
      </c>
      <c r="E15" s="5" t="s">
        <v>69</v>
      </c>
      <c r="F15" s="5" t="s">
        <v>193</v>
      </c>
    </row>
    <row r="16" ht="60.0" customHeight="1">
      <c r="A16" s="5" t="s">
        <v>121</v>
      </c>
      <c r="B16" s="5" t="s">
        <v>194</v>
      </c>
      <c r="C16" s="5" t="s">
        <v>195</v>
      </c>
      <c r="D16" s="5" t="s">
        <v>196</v>
      </c>
      <c r="E16" s="5" t="s">
        <v>38</v>
      </c>
      <c r="F16" s="5" t="s">
        <v>197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2">
    <mergeCell ref="A2:F2"/>
    <mergeCell ref="A1:F1"/>
  </mergeCells>
  <conditionalFormatting sqref="E4:E16">
    <cfRule type="expression" dxfId="4" priority="1">
      <formula>E4="Yes"</formula>
    </cfRule>
  </conditionalFormatting>
  <conditionalFormatting sqref="E4:E16">
    <cfRule type="expression" dxfId="5" priority="2">
      <formula>ISNUMBER(SEARCH("Partial",E4))</formula>
    </cfRule>
  </conditionalFormatting>
  <conditionalFormatting sqref="E4:E16">
    <cfRule type="expression" dxfId="6" priority="3">
      <formula>OR(ISNUMBER(SEARCH("Not tracked",E4)),ISNUMBER(SEARCH("Future",E4)))</formula>
    </cfRule>
  </conditionalFormatting>
  <conditionalFormatting sqref="E4:E16">
    <cfRule type="expression" dxfId="7" priority="4">
      <formula>ISNUMBER(SEARCH("Needs",E4))</formula>
    </cfRule>
  </conditionalFormatting>
  <dataValidations>
    <dataValidation type="list" allowBlank="1" sqref="E4:E16">
      <formula1>"Yes,Partial,Needs input/crosswalk,Future / Not tracked"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8.0"/>
    <col customWidth="1" min="2" max="2" width="32.0"/>
    <col customWidth="1" min="3" max="3" width="56.0"/>
    <col customWidth="1" min="4" max="4" width="44.0"/>
    <col customWidth="1" min="5" max="5" width="18.0"/>
    <col customWidth="1" min="6" max="20" width="8.63"/>
  </cols>
  <sheetData>
    <row r="1" ht="27.75" hidden="1" customHeight="1">
      <c r="A1" s="1" t="s">
        <v>198</v>
      </c>
    </row>
    <row r="2" ht="36.0" hidden="1" customHeight="1">
      <c r="A2" s="2" t="s">
        <v>199</v>
      </c>
    </row>
    <row r="3" ht="31.5" customHeight="1">
      <c r="A3" s="3" t="s">
        <v>28</v>
      </c>
      <c r="B3" s="3" t="s">
        <v>29</v>
      </c>
      <c r="C3" s="3" t="s">
        <v>30</v>
      </c>
      <c r="D3" s="3" t="s">
        <v>31</v>
      </c>
      <c r="E3" s="3" t="s">
        <v>32</v>
      </c>
    </row>
    <row r="4" ht="60.0" customHeight="1">
      <c r="A4" s="5" t="s">
        <v>200</v>
      </c>
      <c r="B4" s="5" t="s">
        <v>201</v>
      </c>
      <c r="C4" s="5" t="s">
        <v>202</v>
      </c>
      <c r="D4" s="5" t="s">
        <v>203</v>
      </c>
      <c r="E4" s="5" t="s">
        <v>204</v>
      </c>
    </row>
    <row r="5" ht="60.0" customHeight="1">
      <c r="A5" s="5" t="s">
        <v>205</v>
      </c>
      <c r="B5" s="5" t="s">
        <v>206</v>
      </c>
      <c r="C5" s="5" t="s">
        <v>207</v>
      </c>
      <c r="D5" s="5" t="s">
        <v>208</v>
      </c>
      <c r="E5" s="5" t="s">
        <v>38</v>
      </c>
    </row>
    <row r="6" ht="60.0" customHeight="1">
      <c r="A6" s="5" t="s">
        <v>209</v>
      </c>
      <c r="B6" s="5" t="s">
        <v>210</v>
      </c>
      <c r="C6" s="5" t="s">
        <v>211</v>
      </c>
      <c r="D6" s="5" t="s">
        <v>212</v>
      </c>
      <c r="E6" s="5" t="s">
        <v>38</v>
      </c>
    </row>
    <row r="7" ht="60.0" customHeight="1">
      <c r="A7" s="5" t="s">
        <v>213</v>
      </c>
      <c r="B7" s="5" t="s">
        <v>214</v>
      </c>
      <c r="C7" s="5" t="s">
        <v>215</v>
      </c>
      <c r="D7" s="5" t="s">
        <v>216</v>
      </c>
      <c r="E7" s="5" t="s">
        <v>38</v>
      </c>
    </row>
    <row r="8" ht="60.0" customHeight="1">
      <c r="A8" s="5" t="s">
        <v>217</v>
      </c>
      <c r="B8" s="5" t="s">
        <v>218</v>
      </c>
      <c r="C8" s="5" t="s">
        <v>219</v>
      </c>
      <c r="D8" s="5" t="s">
        <v>159</v>
      </c>
      <c r="E8" s="5" t="s">
        <v>38</v>
      </c>
    </row>
    <row r="9" ht="60.0" customHeight="1">
      <c r="A9" s="5" t="s">
        <v>163</v>
      </c>
      <c r="B9" s="5" t="s">
        <v>220</v>
      </c>
      <c r="C9" s="5" t="s">
        <v>221</v>
      </c>
      <c r="D9" s="5" t="s">
        <v>222</v>
      </c>
      <c r="E9" s="5" t="s">
        <v>38</v>
      </c>
    </row>
    <row r="10" ht="60.0" customHeight="1">
      <c r="A10" s="5" t="s">
        <v>168</v>
      </c>
      <c r="B10" s="5" t="s">
        <v>223</v>
      </c>
      <c r="C10" s="5" t="s">
        <v>224</v>
      </c>
      <c r="D10" s="5" t="s">
        <v>225</v>
      </c>
      <c r="E10" s="5" t="s">
        <v>38</v>
      </c>
    </row>
    <row r="11" ht="60.0" customHeight="1">
      <c r="A11" s="5" t="s">
        <v>106</v>
      </c>
      <c r="B11" s="5" t="s">
        <v>226</v>
      </c>
      <c r="C11" s="5" t="s">
        <v>227</v>
      </c>
      <c r="D11" s="5" t="s">
        <v>228</v>
      </c>
      <c r="E11" s="5" t="s">
        <v>38</v>
      </c>
    </row>
    <row r="12" ht="60.0" customHeight="1">
      <c r="A12" s="5" t="s">
        <v>177</v>
      </c>
      <c r="B12" s="5" t="s">
        <v>229</v>
      </c>
      <c r="C12" s="5" t="s">
        <v>230</v>
      </c>
      <c r="D12" s="5" t="s">
        <v>178</v>
      </c>
      <c r="E12" s="5" t="s">
        <v>69</v>
      </c>
    </row>
    <row r="13" ht="60.0" customHeight="1">
      <c r="A13" s="5" t="s">
        <v>231</v>
      </c>
      <c r="B13" s="5" t="s">
        <v>232</v>
      </c>
      <c r="C13" s="5" t="s">
        <v>233</v>
      </c>
      <c r="D13" s="5" t="s">
        <v>234</v>
      </c>
      <c r="E13" s="5" t="s">
        <v>38</v>
      </c>
    </row>
    <row r="14" ht="60.0" customHeight="1">
      <c r="A14" s="5" t="s">
        <v>235</v>
      </c>
      <c r="B14" s="5" t="s">
        <v>236</v>
      </c>
      <c r="C14" s="5" t="s">
        <v>237</v>
      </c>
      <c r="D14" s="5" t="s">
        <v>238</v>
      </c>
      <c r="E14" s="5" t="s">
        <v>69</v>
      </c>
    </row>
    <row r="15" ht="60.0" customHeight="1">
      <c r="A15" s="5" t="s">
        <v>130</v>
      </c>
      <c r="B15" s="5" t="s">
        <v>239</v>
      </c>
      <c r="C15" s="5" t="s">
        <v>240</v>
      </c>
      <c r="D15" s="5" t="s">
        <v>241</v>
      </c>
      <c r="E15" s="5" t="s">
        <v>38</v>
      </c>
    </row>
    <row r="16" ht="60.0" customHeight="1">
      <c r="A16" s="5" t="s">
        <v>242</v>
      </c>
      <c r="B16" s="5" t="s">
        <v>243</v>
      </c>
      <c r="C16" s="5" t="s">
        <v>244</v>
      </c>
      <c r="D16" s="5" t="s">
        <v>245</v>
      </c>
      <c r="E16" s="5" t="s">
        <v>69</v>
      </c>
    </row>
    <row r="17" ht="60.0" customHeight="1">
      <c r="A17" s="5" t="s">
        <v>246</v>
      </c>
      <c r="B17" s="5" t="s">
        <v>247</v>
      </c>
      <c r="C17" s="5" t="s">
        <v>248</v>
      </c>
      <c r="D17" s="5" t="s">
        <v>249</v>
      </c>
      <c r="E17" s="5" t="s">
        <v>69</v>
      </c>
    </row>
    <row r="18" ht="60.0" customHeight="1">
      <c r="A18" s="5" t="s">
        <v>250</v>
      </c>
      <c r="B18" s="5" t="s">
        <v>251</v>
      </c>
      <c r="C18" s="5" t="s">
        <v>252</v>
      </c>
      <c r="D18" s="5" t="s">
        <v>253</v>
      </c>
      <c r="E18" s="5" t="s">
        <v>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conditionalFormatting sqref="E4:E18">
    <cfRule type="expression" dxfId="4" priority="1">
      <formula>E4="Yes"</formula>
    </cfRule>
  </conditionalFormatting>
  <conditionalFormatting sqref="E4:E18">
    <cfRule type="expression" dxfId="5" priority="2">
      <formula>ISNUMBER(SEARCH("Partial",E4))</formula>
    </cfRule>
  </conditionalFormatting>
  <conditionalFormatting sqref="E4:E18">
    <cfRule type="expression" dxfId="6" priority="3">
      <formula>OR(ISNUMBER(SEARCH("Not tracked",E4)),ISNUMBER(SEARCH("Future",E4)))</formula>
    </cfRule>
  </conditionalFormatting>
  <conditionalFormatting sqref="E4:E18">
    <cfRule type="expression" dxfId="7" priority="4">
      <formula>ISNUMBER(SEARCH("Needs",E4))</formula>
    </cfRule>
  </conditionalFormatting>
  <dataValidations>
    <dataValidation type="list" allowBlank="1" sqref="E4:E18">
      <formula1>"Yes,Partial,Needs input/crosswalk,Future / Not tracked"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34.0"/>
    <col customWidth="1" min="2" max="2" width="20.0"/>
    <col customWidth="1" min="3" max="3" width="50.0"/>
    <col customWidth="1" min="4" max="4" width="52.0"/>
    <col customWidth="1" min="5" max="23" width="8.63"/>
  </cols>
  <sheetData>
    <row r="1" ht="27.75" customHeight="1">
      <c r="A1" s="1" t="s">
        <v>254</v>
      </c>
    </row>
    <row r="2" ht="36.0" hidden="1" customHeight="1">
      <c r="A2" s="2" t="s">
        <v>255</v>
      </c>
    </row>
    <row r="3" ht="31.5" customHeight="1">
      <c r="A3" s="3" t="s">
        <v>256</v>
      </c>
      <c r="B3" s="3" t="s">
        <v>257</v>
      </c>
      <c r="C3" s="3" t="s">
        <v>258</v>
      </c>
      <c r="D3" s="3" t="s">
        <v>259</v>
      </c>
    </row>
    <row r="4" ht="60.0" customHeight="1">
      <c r="A4" s="5" t="s">
        <v>260</v>
      </c>
      <c r="B4" s="5" t="s">
        <v>261</v>
      </c>
      <c r="C4" s="5" t="s">
        <v>262</v>
      </c>
      <c r="D4" s="5" t="s">
        <v>263</v>
      </c>
    </row>
    <row r="5" ht="60.0" customHeight="1">
      <c r="A5" s="5" t="s">
        <v>264</v>
      </c>
      <c r="B5" s="5" t="s">
        <v>261</v>
      </c>
      <c r="C5" s="5" t="s">
        <v>265</v>
      </c>
      <c r="D5" s="5" t="s">
        <v>266</v>
      </c>
    </row>
    <row r="6" ht="60.0" customHeight="1">
      <c r="A6" s="5" t="s">
        <v>267</v>
      </c>
      <c r="B6" s="5" t="s">
        <v>261</v>
      </c>
      <c r="C6" s="5" t="s">
        <v>268</v>
      </c>
      <c r="D6" s="5" t="s">
        <v>269</v>
      </c>
    </row>
    <row r="7" ht="60.0" customHeight="1">
      <c r="A7" s="5" t="s">
        <v>270</v>
      </c>
      <c r="B7" s="5" t="s">
        <v>261</v>
      </c>
      <c r="C7" s="5" t="s">
        <v>271</v>
      </c>
      <c r="D7" s="5" t="s">
        <v>272</v>
      </c>
    </row>
    <row r="8" ht="60.0" customHeight="1">
      <c r="A8" s="5" t="s">
        <v>273</v>
      </c>
      <c r="B8" s="5" t="s">
        <v>69</v>
      </c>
      <c r="C8" s="5" t="s">
        <v>274</v>
      </c>
      <c r="D8" s="5" t="s">
        <v>275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2">
    <mergeCell ref="A1:D1"/>
    <mergeCell ref="A2:D2"/>
  </mergeCells>
  <conditionalFormatting sqref="B4:B8">
    <cfRule type="expression" dxfId="4" priority="1">
      <formula>B4="Yes"</formula>
    </cfRule>
  </conditionalFormatting>
  <conditionalFormatting sqref="B4:B8">
    <cfRule type="expression" dxfId="5" priority="2">
      <formula>ISNUMBER(SEARCH("Partial",B4))</formula>
    </cfRule>
  </conditionalFormatting>
  <conditionalFormatting sqref="B4:B8">
    <cfRule type="expression" dxfId="6" priority="3">
      <formula>OR(ISNUMBER(SEARCH("Not tracked",B4)),ISNUMBER(SEARCH("Future",B4)))</formula>
    </cfRule>
  </conditionalFormatting>
  <conditionalFormatting sqref="B4:B8">
    <cfRule type="expression" dxfId="7" priority="4">
      <formula>ISNUMBER(SEARCH("Needs",B4))</formula>
    </cfRule>
  </conditionalFormatting>
  <dataValidations>
    <dataValidation type="list" allowBlank="1" sqref="B4:B8">
      <formula1>"Yes,Partial,Needs input/crosswalk,Future / Not tracked"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48.0"/>
    <col customWidth="1" min="2" max="2" width="28.0"/>
    <col customWidth="1" min="3" max="3" width="58.0"/>
    <col customWidth="1" min="4" max="4" width="20.0"/>
    <col customWidth="1" min="5" max="5" width="48.0"/>
    <col customWidth="1" min="6" max="26" width="8.63"/>
  </cols>
  <sheetData>
    <row r="1" ht="27.75" hidden="1" customHeight="1">
      <c r="A1" s="1" t="s">
        <v>276</v>
      </c>
    </row>
    <row r="2" ht="36.0" hidden="1" customHeight="1">
      <c r="A2" s="2" t="s">
        <v>277</v>
      </c>
    </row>
    <row r="3" ht="31.5" customHeight="1">
      <c r="A3" s="3" t="s">
        <v>278</v>
      </c>
      <c r="B3" s="3" t="s">
        <v>279</v>
      </c>
      <c r="C3" s="3" t="s">
        <v>280</v>
      </c>
      <c r="D3" s="3" t="s">
        <v>281</v>
      </c>
      <c r="E3" s="3" t="s">
        <v>282</v>
      </c>
    </row>
    <row r="4" ht="60.0" customHeight="1">
      <c r="A4" s="5" t="s">
        <v>283</v>
      </c>
      <c r="B4" s="5" t="s">
        <v>284</v>
      </c>
      <c r="C4" s="5" t="s">
        <v>285</v>
      </c>
      <c r="D4" s="5" t="s">
        <v>286</v>
      </c>
      <c r="E4" s="5" t="s">
        <v>287</v>
      </c>
    </row>
    <row r="5" ht="60.0" customHeight="1">
      <c r="A5" s="5" t="s">
        <v>288</v>
      </c>
      <c r="B5" s="5" t="s">
        <v>284</v>
      </c>
      <c r="C5" s="5" t="s">
        <v>289</v>
      </c>
      <c r="D5" s="5" t="s">
        <v>286</v>
      </c>
      <c r="E5" s="5" t="s">
        <v>290</v>
      </c>
    </row>
    <row r="6" ht="60.0" customHeight="1">
      <c r="A6" s="5" t="s">
        <v>291</v>
      </c>
      <c r="B6" s="5" t="s">
        <v>284</v>
      </c>
      <c r="C6" s="5" t="s">
        <v>292</v>
      </c>
      <c r="D6" s="5" t="s">
        <v>293</v>
      </c>
      <c r="E6" s="5" t="s">
        <v>294</v>
      </c>
    </row>
    <row r="7" ht="60.0" customHeight="1">
      <c r="A7" s="5" t="s">
        <v>295</v>
      </c>
      <c r="B7" s="5" t="s">
        <v>284</v>
      </c>
      <c r="C7" s="5" t="s">
        <v>296</v>
      </c>
      <c r="D7" s="5" t="s">
        <v>297</v>
      </c>
      <c r="E7" s="5" t="s">
        <v>298</v>
      </c>
    </row>
    <row r="8" ht="60.0" customHeight="1">
      <c r="A8" s="5" t="s">
        <v>299</v>
      </c>
      <c r="B8" s="5" t="s">
        <v>284</v>
      </c>
      <c r="C8" s="5" t="s">
        <v>300</v>
      </c>
      <c r="D8" s="5" t="s">
        <v>293</v>
      </c>
      <c r="E8" s="5" t="s">
        <v>301</v>
      </c>
    </row>
    <row r="9" ht="60.0" customHeight="1">
      <c r="A9" s="5" t="s">
        <v>302</v>
      </c>
      <c r="B9" s="5" t="s">
        <v>284</v>
      </c>
      <c r="C9" s="5" t="s">
        <v>303</v>
      </c>
      <c r="D9" s="5" t="s">
        <v>286</v>
      </c>
      <c r="E9" s="5" t="s">
        <v>304</v>
      </c>
    </row>
    <row r="10" ht="60.0" customHeight="1">
      <c r="A10" s="5" t="s">
        <v>305</v>
      </c>
      <c r="B10" s="5" t="s">
        <v>284</v>
      </c>
      <c r="C10" s="5" t="s">
        <v>306</v>
      </c>
      <c r="D10" s="5" t="s">
        <v>293</v>
      </c>
      <c r="E10" s="5" t="s">
        <v>307</v>
      </c>
    </row>
    <row r="11" ht="60.0" customHeight="1">
      <c r="A11" s="5" t="s">
        <v>308</v>
      </c>
      <c r="B11" s="5" t="s">
        <v>284</v>
      </c>
      <c r="C11" s="5" t="s">
        <v>309</v>
      </c>
      <c r="D11" s="5" t="s">
        <v>297</v>
      </c>
      <c r="E11" s="5" t="s">
        <v>310</v>
      </c>
    </row>
    <row r="12" ht="60.0" customHeight="1">
      <c r="A12" s="5" t="s">
        <v>74</v>
      </c>
      <c r="B12" s="5" t="s">
        <v>284</v>
      </c>
      <c r="C12" s="5" t="s">
        <v>311</v>
      </c>
      <c r="D12" s="5" t="s">
        <v>293</v>
      </c>
      <c r="E12" s="5" t="s">
        <v>312</v>
      </c>
    </row>
    <row r="13" ht="60.0" customHeight="1">
      <c r="A13" s="5" t="s">
        <v>313</v>
      </c>
      <c r="B13" s="5" t="s">
        <v>284</v>
      </c>
      <c r="C13" s="5" t="s">
        <v>314</v>
      </c>
      <c r="D13" s="5" t="s">
        <v>297</v>
      </c>
      <c r="E13" s="5" t="s">
        <v>315</v>
      </c>
    </row>
    <row r="14" ht="60.0" customHeight="1">
      <c r="A14" s="5" t="s">
        <v>316</v>
      </c>
      <c r="B14" s="5" t="s">
        <v>284</v>
      </c>
      <c r="C14" s="5" t="s">
        <v>317</v>
      </c>
      <c r="D14" s="5" t="s">
        <v>297</v>
      </c>
      <c r="E14" s="5" t="s">
        <v>318</v>
      </c>
    </row>
    <row r="15" ht="60.0" customHeight="1">
      <c r="A15" s="5" t="s">
        <v>319</v>
      </c>
      <c r="B15" s="5" t="s">
        <v>284</v>
      </c>
      <c r="C15" s="5" t="s">
        <v>320</v>
      </c>
      <c r="D15" s="5" t="s">
        <v>293</v>
      </c>
      <c r="E15" s="5" t="s">
        <v>321</v>
      </c>
    </row>
    <row r="16" ht="60.0" customHeight="1">
      <c r="A16" s="5" t="s">
        <v>64</v>
      </c>
      <c r="B16" s="5" t="s">
        <v>284</v>
      </c>
      <c r="C16" s="5" t="s">
        <v>322</v>
      </c>
      <c r="D16" s="5" t="s">
        <v>297</v>
      </c>
      <c r="E16" s="5" t="s">
        <v>323</v>
      </c>
    </row>
    <row r="17" ht="60.0" customHeight="1">
      <c r="A17" s="5" t="s">
        <v>324</v>
      </c>
      <c r="B17" s="5" t="s">
        <v>284</v>
      </c>
      <c r="C17" s="5" t="s">
        <v>325</v>
      </c>
      <c r="D17" s="5" t="s">
        <v>293</v>
      </c>
      <c r="E17" s="5" t="s">
        <v>326</v>
      </c>
    </row>
    <row r="18" ht="60.0" customHeight="1">
      <c r="A18" s="5" t="s">
        <v>327</v>
      </c>
      <c r="B18" s="5" t="s">
        <v>284</v>
      </c>
      <c r="C18" s="5" t="s">
        <v>328</v>
      </c>
      <c r="D18" s="5" t="s">
        <v>15</v>
      </c>
      <c r="E18" s="5" t="s">
        <v>329</v>
      </c>
    </row>
    <row r="19" ht="60.0" customHeight="1">
      <c r="A19" s="5" t="s">
        <v>330</v>
      </c>
      <c r="B19" s="5" t="s">
        <v>284</v>
      </c>
      <c r="C19" s="5" t="s">
        <v>331</v>
      </c>
      <c r="D19" s="5" t="s">
        <v>293</v>
      </c>
      <c r="E19" s="5" t="s">
        <v>332</v>
      </c>
    </row>
    <row r="20" ht="60.0" customHeight="1">
      <c r="A20" s="5" t="s">
        <v>333</v>
      </c>
      <c r="B20" s="5" t="s">
        <v>284</v>
      </c>
      <c r="C20" s="5" t="s">
        <v>334</v>
      </c>
      <c r="D20" s="5" t="s">
        <v>335</v>
      </c>
      <c r="E20" s="5" t="s">
        <v>336</v>
      </c>
    </row>
    <row r="21" ht="60.0" customHeight="1">
      <c r="A21" s="5" t="s">
        <v>337</v>
      </c>
      <c r="B21" s="5" t="s">
        <v>338</v>
      </c>
      <c r="C21" s="5" t="s">
        <v>339</v>
      </c>
      <c r="D21" s="5" t="s">
        <v>293</v>
      </c>
      <c r="E21" s="5" t="s">
        <v>340</v>
      </c>
    </row>
    <row r="22" ht="60.0" customHeight="1">
      <c r="A22" s="5" t="s">
        <v>341</v>
      </c>
      <c r="B22" s="5" t="s">
        <v>284</v>
      </c>
      <c r="C22" s="5" t="s">
        <v>342</v>
      </c>
      <c r="D22" s="5" t="s">
        <v>297</v>
      </c>
      <c r="E22" s="5" t="s">
        <v>343</v>
      </c>
    </row>
    <row r="23" ht="60.0" customHeight="1">
      <c r="A23" s="5" t="s">
        <v>344</v>
      </c>
      <c r="B23" s="5" t="s">
        <v>284</v>
      </c>
      <c r="C23" s="5" t="s">
        <v>345</v>
      </c>
      <c r="D23" s="5" t="s">
        <v>297</v>
      </c>
      <c r="E23" s="5" t="s">
        <v>346</v>
      </c>
    </row>
    <row r="24" ht="60.0" customHeight="1">
      <c r="A24" s="5" t="s">
        <v>347</v>
      </c>
      <c r="B24" s="5" t="s">
        <v>284</v>
      </c>
      <c r="C24" s="5" t="s">
        <v>348</v>
      </c>
      <c r="D24" s="5" t="s">
        <v>297</v>
      </c>
      <c r="E24" s="5" t="s">
        <v>349</v>
      </c>
    </row>
    <row r="25" ht="60.0" customHeight="1">
      <c r="A25" s="5" t="s">
        <v>350</v>
      </c>
      <c r="B25" s="5" t="s">
        <v>284</v>
      </c>
      <c r="C25" s="5" t="s">
        <v>351</v>
      </c>
      <c r="D25" s="5" t="s">
        <v>293</v>
      </c>
      <c r="E25" s="5" t="s">
        <v>352</v>
      </c>
    </row>
    <row r="26" ht="60.0" customHeight="1">
      <c r="A26" s="5" t="s">
        <v>353</v>
      </c>
      <c r="B26" s="5" t="s">
        <v>284</v>
      </c>
      <c r="C26" s="5" t="s">
        <v>354</v>
      </c>
      <c r="D26" s="5" t="s">
        <v>297</v>
      </c>
      <c r="E26" s="5" t="s">
        <v>355</v>
      </c>
    </row>
    <row r="27" ht="60.0" customHeight="1">
      <c r="A27" s="5" t="s">
        <v>356</v>
      </c>
      <c r="B27" s="5" t="s">
        <v>284</v>
      </c>
      <c r="C27" s="5" t="s">
        <v>357</v>
      </c>
      <c r="D27" s="5" t="s">
        <v>293</v>
      </c>
      <c r="E27" s="5" t="s">
        <v>358</v>
      </c>
    </row>
    <row r="28" ht="60.0" customHeight="1">
      <c r="A28" s="5" t="s">
        <v>359</v>
      </c>
      <c r="B28" s="5" t="s">
        <v>360</v>
      </c>
      <c r="C28" s="5" t="s">
        <v>361</v>
      </c>
      <c r="D28" s="5" t="s">
        <v>293</v>
      </c>
      <c r="E28" s="5" t="s">
        <v>362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