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ester 1 Credit Acceptance  2" sheetId="1" r:id="rId5"/>
    <sheet state="visible" name="Semester 3 Credit Acceptance 20" sheetId="2" r:id="rId6"/>
    <sheet state="hidden" name="Subject-wise Gap" sheetId="3" r:id="rId7"/>
    <sheet state="hidden" name="Course Name Mapping" sheetId="4" r:id="rId8"/>
    <sheet state="hidden" name="Assumptions" sheetId="5" r:id="rId9"/>
    <sheet state="hidden" name="Subject-wise Gap (1)" sheetId="6" r:id="rId10"/>
    <sheet state="hidden" name="Credit Build-up" sheetId="7" r:id="rId11"/>
    <sheet state="hidden" name="Assumptions (1)" sheetId="8" r:id="rId12"/>
  </sheets>
  <definedNames/>
  <calcPr/>
</workbook>
</file>

<file path=xl/sharedStrings.xml><?xml version="1.0" encoding="utf-8"?>
<sst xmlns="http://schemas.openxmlformats.org/spreadsheetml/2006/main" count="456" uniqueCount="200">
  <si>
    <t>Subject-wise Credit Acceptance &amp; Gap</t>
  </si>
  <si>
    <t>NIAT'26 Batch 4 - Semester 1 Credit Acceptance</t>
  </si>
  <si>
    <t>Audit Trail — University Course Name → NIAT Standard Subject</t>
  </si>
  <si>
    <t>NIAT'25 Batch 3 — Semester 3 Credit Acceptance</t>
  </si>
  <si>
    <t>Scope: 6 standard NIAT subjects across 17 partner universities</t>
  </si>
  <si>
    <t>Scope: 6 standard NIAT subjects across 36 partner universities</t>
  </si>
  <si>
    <t>Mapping driven by the TAGS column of the source sheet, not by university course titles.</t>
  </si>
  <si>
    <t>Subject</t>
  </si>
  <si>
    <t>Standard Credit Structure</t>
  </si>
  <si>
    <t>University</t>
  </si>
  <si>
    <t>Standard Credits</t>
  </si>
  <si>
    <t>Target (× 17)</t>
  </si>
  <si>
    <t>Back End Development</t>
  </si>
  <si>
    <t>Accepted</t>
  </si>
  <si>
    <t>L</t>
  </si>
  <si>
    <t>Design and Analysis of Algorithms</t>
  </si>
  <si>
    <t>T</t>
  </si>
  <si>
    <t>Probability and Statistics</t>
  </si>
  <si>
    <t>Gap</t>
  </si>
  <si>
    <t>P</t>
  </si>
  <si>
    <t>Acceptance %</t>
  </si>
  <si>
    <t>Logical Reasoning</t>
  </si>
  <si>
    <t>Share of Total Gap</t>
  </si>
  <si>
    <t>Applied Communicative English</t>
  </si>
  <si>
    <t>AI for Finance</t>
  </si>
  <si>
    <t>MRV University</t>
  </si>
  <si>
    <t>Back End Web Technologies</t>
  </si>
  <si>
    <t>Web Application Development 1</t>
  </si>
  <si>
    <t>Logical Reasoning and Analytical Skills</t>
  </si>
  <si>
    <t>Advanced Communication Skills</t>
  </si>
  <si>
    <t>AI for Finance (Workshop - 0 credits)</t>
  </si>
  <si>
    <t>Computer Programming</t>
  </si>
  <si>
    <t>Yenepoya University</t>
  </si>
  <si>
    <t>Mathematics for Computer Science</t>
  </si>
  <si>
    <t>Intro to Finance</t>
  </si>
  <si>
    <t>SGU</t>
  </si>
  <si>
    <t>Server Side Engineering</t>
  </si>
  <si>
    <t>Communicative English Foundation</t>
  </si>
  <si>
    <t>Open Elective I</t>
  </si>
  <si>
    <t>Multidisciplinary Minor I</t>
  </si>
  <si>
    <t>CDU</t>
  </si>
  <si>
    <t>Quantitative Aptitude</t>
  </si>
  <si>
    <t>Introduction to Generative AI</t>
  </si>
  <si>
    <t>ADYPU University</t>
  </si>
  <si>
    <t>TOTAL PER UNIVERSITY</t>
  </si>
  <si>
    <t>Applied Communicative English (0 credits)</t>
  </si>
  <si>
    <t>Annamacharya University</t>
  </si>
  <si>
    <t>Advanced Data Structures</t>
  </si>
  <si>
    <t>S-VYASA</t>
  </si>
  <si>
    <t>Core Data Structures &amp; Intermediate Algorithms</t>
  </si>
  <si>
    <t>Fundamentals of Probability and Statistics</t>
  </si>
  <si>
    <t>Vivekananda Global University</t>
  </si>
  <si>
    <t>Universities in scope</t>
  </si>
  <si>
    <t>Skill Enhancement Course - 3</t>
  </si>
  <si>
    <t>Target credits (20 x 36)</t>
  </si>
  <si>
    <t>Ability Enhancement Course - 3</t>
  </si>
  <si>
    <t>Not offered</t>
  </si>
  <si>
    <t>NRI Institute of Technology</t>
  </si>
  <si>
    <t>University-wise Accepted Credits</t>
  </si>
  <si>
    <t>Logical Mathematics For Software Engineers III</t>
  </si>
  <si>
    <t>Credits above the NIAT standard are capped at the standard value - acceptance cannot exceed 100% of a subject. Raw (uncapped) sums are on the 'Credit Build-up' tab.</t>
  </si>
  <si>
    <t>Applied AI for Financial Systems</t>
  </si>
  <si>
    <t>#</t>
  </si>
  <si>
    <t>NSRIT</t>
  </si>
  <si>
    <t>Delivery</t>
  </si>
  <si>
    <t>WAD1 (5)</t>
  </si>
  <si>
    <t>CP (5)</t>
  </si>
  <si>
    <t>Target credits (21 × 16)</t>
  </si>
  <si>
    <t>MCS (3)</t>
  </si>
  <si>
    <t>CEF (2)</t>
  </si>
  <si>
    <t>Chalapathy</t>
  </si>
  <si>
    <t>QA (3)</t>
  </si>
  <si>
    <t>GenAI (2)</t>
  </si>
  <si>
    <t>% of 20</t>
  </si>
  <si>
    <t>MR University</t>
  </si>
  <si>
    <t>Credits above the NIAT standard are capped at the standard value — acceptance cannot exceed 100% of a subject.</t>
  </si>
  <si>
    <t>NIAT Chevella (BITS)</t>
  </si>
  <si>
    <t>Full</t>
  </si>
  <si>
    <t>BED (4)</t>
  </si>
  <si>
    <t>DAA (6)</t>
  </si>
  <si>
    <t>P&amp;S (4)</t>
  </si>
  <si>
    <t>LR (2)</t>
  </si>
  <si>
    <t>ACE (2)</t>
  </si>
  <si>
    <t>AI-Fin (3)</t>
  </si>
  <si>
    <t>% of 21</t>
  </si>
  <si>
    <t>Noida International University</t>
  </si>
  <si>
    <t>TOTAL</t>
  </si>
  <si>
    <t>Crescent University</t>
  </si>
  <si>
    <t>Full Stack Back-end Development</t>
  </si>
  <si>
    <t>Data Structures - II</t>
  </si>
  <si>
    <t>Numerical Ability &amp; Reasoning Skills For Engineers</t>
  </si>
  <si>
    <t>Reading the gap</t>
  </si>
  <si>
    <t>Takshashila University</t>
  </si>
  <si>
    <t>DAA and AI for Finance together account for roughly three-quarters of the total credit shortfall.</t>
  </si>
  <si>
    <t>Zero-credit universities — AI for Finance: MRV (0-credit workshop), VGU, Crescent, Aurora.</t>
  </si>
  <si>
    <t>Co</t>
  </si>
  <si>
    <t>AMET</t>
  </si>
  <si>
    <t>Introduction to Finance</t>
  </si>
  <si>
    <t>Aurora</t>
  </si>
  <si>
    <t>Data Structures Using C++ (different curriculum)</t>
  </si>
  <si>
    <t>Probability Theory and Statistical Analysis</t>
  </si>
  <si>
    <t>English Language Proficiency B2 (different tag)</t>
  </si>
  <si>
    <t>Assumptions &amp; Method</t>
  </si>
  <si>
    <t>Source</t>
  </si>
  <si>
    <t>NIAT'25 Batch 3 — 17 Universities, Sem-3 subject status sheet (user-supplied PDF).</t>
  </si>
  <si>
    <t>Standard structure</t>
  </si>
  <si>
    <t>6 subjects / 21 credits, per the credit structure screenshot supplied by the user.</t>
  </si>
  <si>
    <t>Denominator</t>
  </si>
  <si>
    <t>21 credits × 17 universities = 357 target credits.</t>
  </si>
  <si>
    <t>Subject matching</t>
  </si>
  <si>
    <t>Driven by the TAGS column, not university course titles. See 'Course Name Mapping' tab.</t>
  </si>
  <si>
    <t>Finance aliases</t>
  </si>
  <si>
    <t>AI for Finance = Intro to Finance = Introduction to Finance = Applied AI for Financial Systems = SGU Multidisciplinary Minor I.</t>
  </si>
  <si>
    <t>Capping rule</t>
  </si>
  <si>
    <t>Where a university allots more credits than the NIAT standard, the excess is capped at the standard. Uncapped total would be 302 (84.6%).</t>
  </si>
  <si>
    <t>MRV — AI for Finance</t>
  </si>
  <si>
    <t>Listed as a Workshop with 0 credits. Counted as 0. If credited at 2 / 3, overall acceptance rises to 83.05% / 83.33%.</t>
  </si>
  <si>
    <t>Runs a different Sem-3 curriculum (Data Structures C++, DBMS, Foundations of Data Science, Fundamentals of AI). Only Probability &amp; Statistics tag-matches. Its English course is tagged 'Communicative English Advanced' and is excluded.</t>
  </si>
  <si>
    <t>Blank credit cells</t>
  </si>
  <si>
    <t>Universities listing only a credit total (Chalapathy, Takshashila) have that total used directly; L-T-P split unavailable in source.</t>
  </si>
  <si>
    <t>Excluded</t>
  </si>
  <si>
    <t>Compliance courses, university-only courses, workshops and electives outside the 6 standard subjects.</t>
  </si>
  <si>
    <t>Hybrid</t>
  </si>
  <si>
    <t>Target (x 36)</t>
  </si>
  <si>
    <t>Alard University</t>
  </si>
  <si>
    <t>St. Mary's Rehabilitation Univ.</t>
  </si>
  <si>
    <t>BEST Innovation University</t>
  </si>
  <si>
    <t>JOY University</t>
  </si>
  <si>
    <t>Sandip University</t>
  </si>
  <si>
    <t>Raw vs Capped Credits - Cap Audit Trail</t>
  </si>
  <si>
    <t>Raw = sum of every course carrying that tag (theory + lab). Capped = min(raw, NIAT standard). Cells where raw exceeds standard are shaded.</t>
  </si>
  <si>
    <t>Scope Global Skills University</t>
  </si>
  <si>
    <t>WAD1 raw</t>
  </si>
  <si>
    <t>WAD1 capped</t>
  </si>
  <si>
    <t>CP raw</t>
  </si>
  <si>
    <t>CP capped</t>
  </si>
  <si>
    <t>MCS raw</t>
  </si>
  <si>
    <t>MCS capped</t>
  </si>
  <si>
    <t>CEF raw</t>
  </si>
  <si>
    <t>CEF capped</t>
  </si>
  <si>
    <t>QA raw</t>
  </si>
  <si>
    <t>QA capped</t>
  </si>
  <si>
    <t>GenAI raw</t>
  </si>
  <si>
    <t>GenAI capped</t>
  </si>
  <si>
    <t>Source notes / data-quality flags</t>
  </si>
  <si>
    <t>SPIHER (St. Peter's)</t>
  </si>
  <si>
    <t>Sushanth University</t>
  </si>
  <si>
    <t>Sanskriti University</t>
  </si>
  <si>
    <t>CREDIT ACCEPTANCE %</t>
  </si>
  <si>
    <t>Total credits accepted</t>
  </si>
  <si>
    <t>Total target credits</t>
  </si>
  <si>
    <t>GenAI course listed 2-0-2 but 0 credits</t>
  </si>
  <si>
    <t>Credit Acceptance %</t>
  </si>
  <si>
    <t>SNS</t>
  </si>
  <si>
    <t>Shortfall (credits)</t>
  </si>
  <si>
    <t>WAD1 &amp; CP each = theory + lab</t>
  </si>
  <si>
    <t>T.S Mishra University</t>
  </si>
  <si>
    <t>WAD1 is the single largest gap - most universities allot 4 credits against the 5-credit standard.</t>
  </si>
  <si>
    <t>Quantitative Aptitude has four zero-credit universities: ADYPU (0 credits), Crescent (not offered), Aurora (workshop), and none where the tag is mis-assigned.</t>
  </si>
  <si>
    <t>Introduction to Generative AI has four zeros: Yenepoya (0 credits), Crescent (not offered), Aurora (workshop), SPIHER (mis-tagged as QA).</t>
  </si>
  <si>
    <t>Subharti University</t>
  </si>
  <si>
    <t>Applied Quantitative Aptitude carries 0 credits</t>
  </si>
  <si>
    <t>Geeta University</t>
  </si>
  <si>
    <t>Lingaya's Vidyapeeth</t>
  </si>
  <si>
    <t>Sri Sri University</t>
  </si>
  <si>
    <t>Source tags QA/CEF swapped against course names</t>
  </si>
  <si>
    <t>GMRIT University</t>
  </si>
  <si>
    <t>Developer Tools Lab + Health/Yoga also tagged GenAI</t>
  </si>
  <si>
    <t>LIMAT - Vijayawada</t>
  </si>
  <si>
    <t>Labs carry 1.5 credits each</t>
  </si>
  <si>
    <t>Bharath University - Chennai</t>
  </si>
  <si>
    <t>Tags scrambled: QA/CEF swapped; CP Lab tagged GenAI; GenAI tagged Compliance</t>
  </si>
  <si>
    <t>PK Das Deemed University</t>
  </si>
  <si>
    <t>Assumptions, Method &amp; Open Questions</t>
  </si>
  <si>
    <t>Visakha Inst. of Engg &amp; Tech</t>
  </si>
  <si>
    <t>NIAT'26 Batch 4 - Sem-1 subject status sheet (user-supplied PDF).</t>
  </si>
  <si>
    <t>6 subjects / 20 credits, per the Sem-1 credit structure screenshot supplied by the user.</t>
  </si>
  <si>
    <t>20 credits x 36 universities = 720 target credits.</t>
  </si>
  <si>
    <t>OPEN: university count</t>
  </si>
  <si>
    <t>The tab is named '34 Universities' but contains 36 blocks (numbering runs 1-38; 12, 20 and 25 are missing, 26 is used twice). Built at 36. At 34 the denominator becomes 680 and acceptance reads 95.4%; confirm the intended roster.</t>
  </si>
  <si>
    <t>OPEN: duplicate blocks</t>
  </si>
  <si>
    <t>Blocks 36, 37 and 38 (Bharath, PK Das, Visakha) carry 'LIMAT' in the university-name column with data identical to LIMAT. Treated as real universities; confirm they are not un-edited template copies.</t>
  </si>
  <si>
    <t>Driven by the TAGS column, not university course titles.</t>
  </si>
  <si>
    <t>Theory + lab</t>
  </si>
  <si>
    <t>Where a subject is split into a theory course and a lab course, both are summed (e.g. SGU: WAD I 3 + WAD I Lab 2 = 5).</t>
  </si>
  <si>
    <t>Where the tag total exceeds the NIAT standard, the excess is capped at the standard. See 'Credit Build-up' tab for raw sums.</t>
  </si>
  <si>
    <t>Tag errors carried as-is</t>
  </si>
  <si>
    <t>S-VYASA and Chalapathy have QA and CEF tags swapped against their course names; Chalapathy also tags CP Lab as GenAI and its GenAI course as Compliance; SPIHER tags its GenAI course as QA. The tag was followed in every case - correcting them at source would shift those rows.</t>
  </si>
  <si>
    <t>Zero-credit courses</t>
  </si>
  <si>
    <t>Yenepoya GenAI (2-0-2 but 0 credits), ADYPU Applied QA (0), Aurora QA and GenAI (0-credit Workshops) are counted as 0.</t>
  </si>
  <si>
    <t>Missing L-T-P</t>
  </si>
  <si>
    <t>Takshashila and Aurora list credit totals only; those totals were used directly.</t>
  </si>
  <si>
    <t>No QA or GenAI course in Sem-1</t>
  </si>
  <si>
    <t>Compliance courses, university-only courses, and anything tagged 'Others' outside the 6 standard subjects.</t>
  </si>
  <si>
    <t>Credit totals only; no L-T-P split in source</t>
  </si>
  <si>
    <t>Two courses per tag; QA &amp; GenAI run as 0-credit Workshops</t>
  </si>
  <si>
    <t>GenAI course mis-tagged as Quantitative Aptitude</t>
  </si>
  <si>
    <t>CP delivered as an 8-hour lab course</t>
  </si>
  <si>
    <t>GenAI only 0-0-2 = 1 credit</t>
  </si>
  <si>
    <t>Source rows still labelled LIMAT - verify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</si>
</sst>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1.0"/>
      <color theme="1"/>
      <name val="Arial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sz val="10.0"/>
      <color rgb="FF0000FF"/>
      <name val="Arial"/>
    </font>
    <font>
      <sz val="11.0"/>
      <color theme="1"/>
      <name val="Calibri"/>
    </font>
    <font>
      <sz val="9.0"/>
      <color rgb="FFC00000"/>
      <name val="Arial"/>
    </font>
    <font>
      <i/>
      <sz val="9.0"/>
      <color rgb="FFC00000"/>
      <name val="Arial"/>
    </font>
    <font>
      <b/>
      <sz val="10.0"/>
      <color rgb="FFC00000"/>
      <name val="Arial"/>
    </font>
    <font>
      <i/>
      <sz val="10.0"/>
      <color theme="1"/>
      <name val="Arial"/>
    </font>
    <font>
      <i/>
      <sz val="9.0"/>
      <color rgb="FF595959"/>
      <name val="Arial"/>
    </font>
    <font>
      <b/>
      <sz val="12.0"/>
      <color rgb="FF1F3864"/>
      <name val="Arial"/>
    </font>
    <font>
      <b/>
      <sz val="12.0"/>
      <color theme="1"/>
      <name val="Arial"/>
    </font>
    <font>
      <b/>
      <sz val="12.0"/>
      <color rgb="FF0061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164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center" wrapText="0"/>
    </xf>
    <xf borderId="1" fillId="0" fontId="9" numFmtId="0" xfId="0" applyAlignment="1" applyBorder="1" applyFont="1">
      <alignment horizontal="left" shrinkToFit="0" vertical="top" wrapText="1"/>
    </xf>
    <xf borderId="2" fillId="3" fontId="4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horizontal="left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3" fontId="4" numFmtId="10" xfId="0" applyAlignment="1" applyBorder="1" applyFont="1" applyNumberFormat="1">
      <alignment horizontal="center" shrinkToFit="0" vertical="center" wrapText="0"/>
    </xf>
    <xf borderId="1" fillId="3" fontId="4" numFmtId="164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shrinkToFit="0" vertical="top" wrapText="1"/>
    </xf>
    <xf borderId="0" fillId="0" fontId="13" numFmtId="0" xfId="0" applyAlignment="1" applyFont="1">
      <alignment shrinkToFit="0" vertical="bottom" wrapText="0"/>
    </xf>
    <xf borderId="1" fillId="3" fontId="8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1" fillId="4" fontId="11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shrinkToFit="0" vertical="top" wrapText="1"/>
    </xf>
    <xf borderId="0" fillId="0" fontId="1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1" fillId="0" fontId="9" numFmtId="0" xfId="0" applyAlignment="1" applyBorder="1" applyFont="1">
      <alignment shrinkToFit="0" vertical="top" wrapText="1"/>
    </xf>
    <xf borderId="0" fillId="0" fontId="15" numFmtId="0" xfId="0" applyAlignment="1" applyFont="1">
      <alignment shrinkToFit="0" vertical="bottom" wrapText="0"/>
    </xf>
    <xf borderId="1" fillId="3" fontId="16" numFmtId="10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top" wrapText="1"/>
    </xf>
    <xf borderId="2" fillId="4" fontId="4" numFmtId="0" xfId="0" applyAlignment="1" applyBorder="1" applyFont="1">
      <alignment shrinkToFit="0" vertical="top" wrapText="1"/>
    </xf>
    <xf borderId="2" fillId="4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.63"/>
    <col customWidth="1" min="2" max="2" width="16.5"/>
    <col customWidth="1" min="3" max="3" width="24.0"/>
    <col customWidth="1" min="4" max="5" width="8.75"/>
    <col customWidth="1" min="6" max="6" width="10.38"/>
    <col customWidth="1" min="7" max="10" width="7.88"/>
    <col customWidth="1" min="11" max="11" width="9.63"/>
    <col customWidth="1" min="12" max="12" width="8.75"/>
    <col customWidth="1" min="13" max="26" width="7.63"/>
  </cols>
  <sheetData>
    <row r="2">
      <c r="B2" s="1" t="s">
        <v>1</v>
      </c>
    </row>
    <row r="3">
      <c r="B3" s="2" t="s">
        <v>5</v>
      </c>
    </row>
    <row r="5">
      <c r="B5" s="4" t="s">
        <v>8</v>
      </c>
    </row>
    <row r="6">
      <c r="B6" s="3" t="s">
        <v>7</v>
      </c>
      <c r="C6" s="3" t="s">
        <v>14</v>
      </c>
      <c r="D6" s="3" t="s">
        <v>16</v>
      </c>
      <c r="E6" s="3" t="s">
        <v>19</v>
      </c>
      <c r="F6" s="3" t="s">
        <v>10</v>
      </c>
    </row>
    <row r="7">
      <c r="B7" s="5" t="s">
        <v>27</v>
      </c>
      <c r="C7" s="8">
        <v>4.0</v>
      </c>
      <c r="D7" s="8">
        <v>0.0</v>
      </c>
      <c r="E7" s="8">
        <v>2.0</v>
      </c>
      <c r="F7" s="8">
        <v>5.0</v>
      </c>
    </row>
    <row r="8">
      <c r="B8" s="5" t="s">
        <v>31</v>
      </c>
      <c r="C8" s="8">
        <v>4.0</v>
      </c>
      <c r="D8" s="8">
        <v>0.0</v>
      </c>
      <c r="E8" s="8">
        <v>2.0</v>
      </c>
      <c r="F8" s="8">
        <v>5.0</v>
      </c>
    </row>
    <row r="9">
      <c r="B9" s="5" t="s">
        <v>33</v>
      </c>
      <c r="C9" s="8">
        <v>2.0</v>
      </c>
      <c r="D9" s="8">
        <v>1.0</v>
      </c>
      <c r="E9" s="8">
        <v>0.0</v>
      </c>
      <c r="F9" s="8">
        <v>3.0</v>
      </c>
    </row>
    <row r="10">
      <c r="B10" s="5" t="s">
        <v>37</v>
      </c>
      <c r="C10" s="8">
        <v>1.0</v>
      </c>
      <c r="D10" s="8">
        <v>0.0</v>
      </c>
      <c r="E10" s="8">
        <v>2.0</v>
      </c>
      <c r="F10" s="8">
        <v>2.0</v>
      </c>
    </row>
    <row r="11">
      <c r="B11" s="5" t="s">
        <v>41</v>
      </c>
      <c r="C11" s="8">
        <v>2.0</v>
      </c>
      <c r="D11" s="8">
        <v>0.0</v>
      </c>
      <c r="E11" s="8">
        <v>2.0</v>
      </c>
      <c r="F11" s="8">
        <v>3.0</v>
      </c>
    </row>
    <row r="12">
      <c r="B12" s="5" t="s">
        <v>42</v>
      </c>
      <c r="C12" s="8">
        <v>1.0</v>
      </c>
      <c r="D12" s="8">
        <v>0.0</v>
      </c>
      <c r="E12" s="8">
        <v>2.0</v>
      </c>
      <c r="F12" s="8">
        <v>2.0</v>
      </c>
    </row>
    <row r="13">
      <c r="B13" s="11" t="s">
        <v>44</v>
      </c>
      <c r="C13" s="12">
        <f t="shared" ref="C13:F13" si="1">SUM(C7:C12)</f>
        <v>14</v>
      </c>
      <c r="D13" s="12">
        <f t="shared" si="1"/>
        <v>1</v>
      </c>
      <c r="E13" s="12">
        <f t="shared" si="1"/>
        <v>10</v>
      </c>
      <c r="F13" s="12">
        <f t="shared" si="1"/>
        <v>20</v>
      </c>
    </row>
    <row r="15">
      <c r="B15" s="13" t="s">
        <v>52</v>
      </c>
      <c r="F15" s="14">
        <v>36.0</v>
      </c>
    </row>
    <row r="16">
      <c r="B16" s="4" t="s">
        <v>54</v>
      </c>
      <c r="F16" s="16">
        <f>F13*F15</f>
        <v>720</v>
      </c>
    </row>
    <row r="19">
      <c r="B19" s="4" t="s">
        <v>58</v>
      </c>
    </row>
    <row r="20">
      <c r="B20" s="17" t="s">
        <v>60</v>
      </c>
    </row>
    <row r="21" ht="15.75" customHeight="1">
      <c r="B21" s="3" t="s">
        <v>62</v>
      </c>
      <c r="C21" s="3" t="s">
        <v>9</v>
      </c>
      <c r="D21" s="3" t="s">
        <v>64</v>
      </c>
      <c r="E21" s="3" t="s">
        <v>65</v>
      </c>
      <c r="F21" s="3" t="s">
        <v>66</v>
      </c>
      <c r="G21" s="3" t="s">
        <v>68</v>
      </c>
      <c r="H21" s="3" t="s">
        <v>69</v>
      </c>
      <c r="I21" s="3" t="s">
        <v>71</v>
      </c>
      <c r="J21" s="3" t="s">
        <v>72</v>
      </c>
      <c r="K21" s="3" t="s">
        <v>13</v>
      </c>
      <c r="L21" s="3" t="s">
        <v>73</v>
      </c>
    </row>
    <row r="22" ht="15.75" customHeight="1">
      <c r="B22" s="9">
        <v>1.0</v>
      </c>
      <c r="C22" s="19" t="s">
        <v>74</v>
      </c>
      <c r="D22" s="9" t="s">
        <v>77</v>
      </c>
      <c r="E22" s="20">
        <v>4.0</v>
      </c>
      <c r="F22" s="20">
        <v>4.0</v>
      </c>
      <c r="G22" s="8">
        <v>3.0</v>
      </c>
      <c r="H22" s="8">
        <v>2.0</v>
      </c>
      <c r="I22" s="8">
        <v>3.0</v>
      </c>
      <c r="J22" s="8">
        <v>2.0</v>
      </c>
      <c r="K22" s="21">
        <f t="shared" ref="K22:K57" si="2">SUM(E22:J22)</f>
        <v>18</v>
      </c>
      <c r="L22" s="10">
        <f t="shared" ref="L22:L57" si="3">K22/$F$13</f>
        <v>0.9</v>
      </c>
    </row>
    <row r="23" ht="15.75" customHeight="1">
      <c r="B23" s="9">
        <v>2.0</v>
      </c>
      <c r="C23" s="19" t="s">
        <v>32</v>
      </c>
      <c r="D23" s="9" t="s">
        <v>77</v>
      </c>
      <c r="E23" s="8">
        <v>5.0</v>
      </c>
      <c r="F23" s="8">
        <v>5.0</v>
      </c>
      <c r="G23" s="8">
        <v>3.0</v>
      </c>
      <c r="H23" s="8">
        <v>2.0</v>
      </c>
      <c r="I23" s="20">
        <v>2.0</v>
      </c>
      <c r="J23" s="20">
        <v>0.0</v>
      </c>
      <c r="K23" s="21">
        <f t="shared" si="2"/>
        <v>17</v>
      </c>
      <c r="L23" s="10">
        <f t="shared" si="3"/>
        <v>0.85</v>
      </c>
    </row>
    <row r="24" ht="15.75" customHeight="1">
      <c r="B24" s="9">
        <v>3.0</v>
      </c>
      <c r="C24" s="19" t="s">
        <v>35</v>
      </c>
      <c r="D24" s="9" t="s">
        <v>77</v>
      </c>
      <c r="E24" s="8">
        <v>5.0</v>
      </c>
      <c r="F24" s="8">
        <v>5.0</v>
      </c>
      <c r="G24" s="20">
        <v>2.0</v>
      </c>
      <c r="H24" s="8">
        <v>2.0</v>
      </c>
      <c r="I24" s="8">
        <v>3.0</v>
      </c>
      <c r="J24" s="8">
        <v>2.0</v>
      </c>
      <c r="K24" s="21">
        <f t="shared" si="2"/>
        <v>19</v>
      </c>
      <c r="L24" s="10">
        <f t="shared" si="3"/>
        <v>0.95</v>
      </c>
    </row>
    <row r="25" ht="15.75" customHeight="1">
      <c r="B25" s="9">
        <v>4.0</v>
      </c>
      <c r="C25" s="19" t="s">
        <v>40</v>
      </c>
      <c r="D25" s="9" t="s">
        <v>95</v>
      </c>
      <c r="E25" s="8">
        <v>5.0</v>
      </c>
      <c r="F25" s="8">
        <v>5.0</v>
      </c>
      <c r="G25" s="8">
        <v>3.0</v>
      </c>
      <c r="H25" s="8">
        <v>2.0</v>
      </c>
      <c r="I25" s="8">
        <v>3.0</v>
      </c>
      <c r="J25" s="8">
        <v>2.0</v>
      </c>
      <c r="K25" s="21">
        <f t="shared" si="2"/>
        <v>20</v>
      </c>
      <c r="L25" s="10">
        <f t="shared" si="3"/>
        <v>1</v>
      </c>
    </row>
    <row r="26" ht="15.75" customHeight="1">
      <c r="B26" s="9">
        <v>5.0</v>
      </c>
      <c r="C26" s="19" t="s">
        <v>43</v>
      </c>
      <c r="D26" s="9" t="s">
        <v>77</v>
      </c>
      <c r="E26" s="20">
        <v>4.0</v>
      </c>
      <c r="F26" s="20">
        <v>4.0</v>
      </c>
      <c r="G26" s="8">
        <v>3.0</v>
      </c>
      <c r="H26" s="8">
        <v>2.0</v>
      </c>
      <c r="I26" s="20">
        <v>0.0</v>
      </c>
      <c r="J26" s="8">
        <v>2.0</v>
      </c>
      <c r="K26" s="21">
        <f t="shared" si="2"/>
        <v>15</v>
      </c>
      <c r="L26" s="10">
        <f t="shared" si="3"/>
        <v>0.75</v>
      </c>
    </row>
    <row r="27" ht="15.75" customHeight="1">
      <c r="B27" s="9">
        <v>6.0</v>
      </c>
      <c r="C27" s="19" t="s">
        <v>46</v>
      </c>
      <c r="D27" s="9" t="s">
        <v>95</v>
      </c>
      <c r="E27" s="8">
        <v>5.0</v>
      </c>
      <c r="F27" s="8">
        <v>5.0</v>
      </c>
      <c r="G27" s="8">
        <v>3.0</v>
      </c>
      <c r="H27" s="8">
        <v>2.0</v>
      </c>
      <c r="I27" s="20">
        <v>2.0</v>
      </c>
      <c r="J27" s="8">
        <v>2.0</v>
      </c>
      <c r="K27" s="21">
        <f t="shared" si="2"/>
        <v>19</v>
      </c>
      <c r="L27" s="10">
        <f t="shared" si="3"/>
        <v>0.95</v>
      </c>
    </row>
    <row r="28" ht="15.75" customHeight="1">
      <c r="B28" s="9">
        <v>7.0</v>
      </c>
      <c r="C28" s="19" t="s">
        <v>48</v>
      </c>
      <c r="D28" s="9" t="s">
        <v>77</v>
      </c>
      <c r="E28" s="20">
        <v>4.0</v>
      </c>
      <c r="F28" s="8">
        <v>5.0</v>
      </c>
      <c r="G28" s="8">
        <v>3.0</v>
      </c>
      <c r="H28" s="8">
        <v>2.0</v>
      </c>
      <c r="I28" s="20">
        <v>2.0</v>
      </c>
      <c r="J28" s="8">
        <v>2.0</v>
      </c>
      <c r="K28" s="21">
        <f t="shared" si="2"/>
        <v>18</v>
      </c>
      <c r="L28" s="10">
        <f t="shared" si="3"/>
        <v>0.9</v>
      </c>
    </row>
    <row r="29" ht="15.75" customHeight="1">
      <c r="B29" s="9">
        <v>8.0</v>
      </c>
      <c r="C29" s="19" t="s">
        <v>51</v>
      </c>
      <c r="D29" s="9" t="s">
        <v>77</v>
      </c>
      <c r="E29" s="20">
        <v>4.0</v>
      </c>
      <c r="F29" s="20">
        <v>4.0</v>
      </c>
      <c r="G29" s="8">
        <v>3.0</v>
      </c>
      <c r="H29" s="8">
        <v>2.0</v>
      </c>
      <c r="I29" s="8">
        <v>3.0</v>
      </c>
      <c r="J29" s="8">
        <v>2.0</v>
      </c>
      <c r="K29" s="21">
        <f t="shared" si="2"/>
        <v>18</v>
      </c>
      <c r="L29" s="10">
        <f t="shared" si="3"/>
        <v>0.9</v>
      </c>
    </row>
    <row r="30" ht="15.75" customHeight="1">
      <c r="B30" s="9">
        <v>9.0</v>
      </c>
      <c r="C30" s="19" t="s">
        <v>57</v>
      </c>
      <c r="D30" s="9" t="s">
        <v>77</v>
      </c>
      <c r="E30" s="20">
        <v>4.0</v>
      </c>
      <c r="F30" s="20">
        <v>4.0</v>
      </c>
      <c r="G30" s="8">
        <v>3.0</v>
      </c>
      <c r="H30" s="8">
        <v>2.0</v>
      </c>
      <c r="I30" s="20">
        <v>2.0</v>
      </c>
      <c r="J30" s="8">
        <v>2.0</v>
      </c>
      <c r="K30" s="21">
        <f t="shared" si="2"/>
        <v>17</v>
      </c>
      <c r="L30" s="10">
        <f t="shared" si="3"/>
        <v>0.85</v>
      </c>
    </row>
    <row r="31" ht="15.75" customHeight="1">
      <c r="B31" s="9">
        <v>10.0</v>
      </c>
      <c r="C31" s="19" t="s">
        <v>63</v>
      </c>
      <c r="D31" s="9" t="s">
        <v>95</v>
      </c>
      <c r="E31" s="20">
        <v>4.5</v>
      </c>
      <c r="F31" s="20">
        <v>4.5</v>
      </c>
      <c r="G31" s="8">
        <v>3.0</v>
      </c>
      <c r="H31" s="8">
        <v>2.0</v>
      </c>
      <c r="I31" s="8">
        <v>3.0</v>
      </c>
      <c r="J31" s="8">
        <v>2.0</v>
      </c>
      <c r="K31" s="21">
        <f t="shared" si="2"/>
        <v>19</v>
      </c>
      <c r="L31" s="10">
        <f t="shared" si="3"/>
        <v>0.95</v>
      </c>
    </row>
    <row r="32" ht="15.75" customHeight="1">
      <c r="B32" s="9">
        <v>11.0</v>
      </c>
      <c r="C32" s="19" t="s">
        <v>70</v>
      </c>
      <c r="D32" s="9" t="s">
        <v>95</v>
      </c>
      <c r="E32" s="20">
        <v>4.0</v>
      </c>
      <c r="F32" s="20">
        <v>4.0</v>
      </c>
      <c r="G32" s="8">
        <v>3.0</v>
      </c>
      <c r="H32" s="8">
        <v>2.0</v>
      </c>
      <c r="I32" s="20">
        <v>2.0</v>
      </c>
      <c r="J32" s="8">
        <v>2.0</v>
      </c>
      <c r="K32" s="21">
        <f t="shared" si="2"/>
        <v>17</v>
      </c>
      <c r="L32" s="10">
        <f t="shared" si="3"/>
        <v>0.85</v>
      </c>
    </row>
    <row r="33" ht="15.75" customHeight="1">
      <c r="B33" s="9">
        <v>12.0</v>
      </c>
      <c r="C33" s="19" t="s">
        <v>85</v>
      </c>
      <c r="D33" s="9" t="s">
        <v>77</v>
      </c>
      <c r="E33" s="20">
        <v>4.0</v>
      </c>
      <c r="F33" s="8">
        <v>5.0</v>
      </c>
      <c r="G33" s="8">
        <v>3.0</v>
      </c>
      <c r="H33" s="8">
        <v>2.0</v>
      </c>
      <c r="I33" s="8">
        <v>3.0</v>
      </c>
      <c r="J33" s="8">
        <v>2.0</v>
      </c>
      <c r="K33" s="21">
        <f t="shared" si="2"/>
        <v>19</v>
      </c>
      <c r="L33" s="10">
        <f t="shared" si="3"/>
        <v>0.95</v>
      </c>
    </row>
    <row r="34" ht="15.75" customHeight="1">
      <c r="B34" s="9">
        <v>13.0</v>
      </c>
      <c r="C34" s="19" t="s">
        <v>87</v>
      </c>
      <c r="D34" s="9" t="s">
        <v>95</v>
      </c>
      <c r="E34" s="20">
        <v>4.0</v>
      </c>
      <c r="F34" s="20">
        <v>4.0</v>
      </c>
      <c r="G34" s="8">
        <v>3.0</v>
      </c>
      <c r="H34" s="8">
        <v>2.0</v>
      </c>
      <c r="I34" s="20">
        <v>0.0</v>
      </c>
      <c r="J34" s="20">
        <v>0.0</v>
      </c>
      <c r="K34" s="21">
        <f t="shared" si="2"/>
        <v>13</v>
      </c>
      <c r="L34" s="10">
        <f t="shared" si="3"/>
        <v>0.65</v>
      </c>
    </row>
    <row r="35" ht="15.75" customHeight="1">
      <c r="B35" s="9">
        <v>14.0</v>
      </c>
      <c r="C35" s="19" t="s">
        <v>92</v>
      </c>
      <c r="D35" s="9" t="s">
        <v>95</v>
      </c>
      <c r="E35" s="20">
        <v>4.0</v>
      </c>
      <c r="F35" s="20">
        <v>4.0</v>
      </c>
      <c r="G35" s="8">
        <v>3.0</v>
      </c>
      <c r="H35" s="8">
        <v>2.0</v>
      </c>
      <c r="I35" s="8">
        <v>3.0</v>
      </c>
      <c r="J35" s="8">
        <v>2.0</v>
      </c>
      <c r="K35" s="21">
        <f t="shared" si="2"/>
        <v>18</v>
      </c>
      <c r="L35" s="10">
        <f t="shared" si="3"/>
        <v>0.9</v>
      </c>
    </row>
    <row r="36" ht="15.75" customHeight="1">
      <c r="B36" s="9">
        <v>15.0</v>
      </c>
      <c r="C36" s="19" t="s">
        <v>96</v>
      </c>
      <c r="D36" s="9" t="s">
        <v>77</v>
      </c>
      <c r="E36" s="20">
        <v>4.0</v>
      </c>
      <c r="F36" s="8">
        <v>5.0</v>
      </c>
      <c r="G36" s="8">
        <v>3.0</v>
      </c>
      <c r="H36" s="8">
        <v>2.0</v>
      </c>
      <c r="I36" s="8">
        <v>3.0</v>
      </c>
      <c r="J36" s="8">
        <v>2.0</v>
      </c>
      <c r="K36" s="21">
        <f t="shared" si="2"/>
        <v>19</v>
      </c>
      <c r="L36" s="10">
        <f t="shared" si="3"/>
        <v>0.95</v>
      </c>
    </row>
    <row r="37" ht="15.75" customHeight="1">
      <c r="B37" s="9">
        <v>16.0</v>
      </c>
      <c r="C37" s="19" t="s">
        <v>98</v>
      </c>
      <c r="D37" s="9" t="s">
        <v>77</v>
      </c>
      <c r="E37" s="8">
        <v>5.0</v>
      </c>
      <c r="F37" s="8">
        <v>5.0</v>
      </c>
      <c r="G37" s="8">
        <v>3.0</v>
      </c>
      <c r="H37" s="20">
        <v>1.0</v>
      </c>
      <c r="I37" s="20">
        <v>0.0</v>
      </c>
      <c r="J37" s="20">
        <v>0.0</v>
      </c>
      <c r="K37" s="21">
        <f t="shared" si="2"/>
        <v>14</v>
      </c>
      <c r="L37" s="10">
        <f t="shared" si="3"/>
        <v>0.7</v>
      </c>
    </row>
    <row r="38" ht="15.75" customHeight="1">
      <c r="B38" s="9">
        <v>17.0</v>
      </c>
      <c r="C38" s="19" t="s">
        <v>124</v>
      </c>
      <c r="D38" s="9" t="s">
        <v>77</v>
      </c>
      <c r="E38" s="20">
        <v>4.0</v>
      </c>
      <c r="F38" s="8">
        <v>5.0</v>
      </c>
      <c r="G38" s="8">
        <v>3.0</v>
      </c>
      <c r="H38" s="8">
        <v>2.0</v>
      </c>
      <c r="I38" s="8">
        <v>3.0</v>
      </c>
      <c r="J38" s="8">
        <v>2.0</v>
      </c>
      <c r="K38" s="21">
        <f t="shared" si="2"/>
        <v>19</v>
      </c>
      <c r="L38" s="10">
        <f t="shared" si="3"/>
        <v>0.95</v>
      </c>
    </row>
    <row r="39" ht="15.75" customHeight="1">
      <c r="B39" s="9">
        <v>18.0</v>
      </c>
      <c r="C39" s="19" t="s">
        <v>125</v>
      </c>
      <c r="D39" s="9" t="s">
        <v>77</v>
      </c>
      <c r="E39" s="20">
        <v>4.0</v>
      </c>
      <c r="F39" s="8">
        <v>5.0</v>
      </c>
      <c r="G39" s="8">
        <v>3.0</v>
      </c>
      <c r="H39" s="8">
        <v>2.0</v>
      </c>
      <c r="I39" s="8">
        <v>3.0</v>
      </c>
      <c r="J39" s="8">
        <v>2.0</v>
      </c>
      <c r="K39" s="21">
        <f t="shared" si="2"/>
        <v>19</v>
      </c>
      <c r="L39" s="10">
        <f t="shared" si="3"/>
        <v>0.95</v>
      </c>
    </row>
    <row r="40" ht="15.75" customHeight="1">
      <c r="B40" s="9">
        <v>19.0</v>
      </c>
      <c r="C40" s="19" t="s">
        <v>126</v>
      </c>
      <c r="D40" s="9" t="s">
        <v>77</v>
      </c>
      <c r="E40" s="20">
        <v>4.0</v>
      </c>
      <c r="F40" s="8">
        <v>5.0</v>
      </c>
      <c r="G40" s="8">
        <v>3.0</v>
      </c>
      <c r="H40" s="8">
        <v>2.0</v>
      </c>
      <c r="I40" s="8">
        <v>3.0</v>
      </c>
      <c r="J40" s="8">
        <v>2.0</v>
      </c>
      <c r="K40" s="21">
        <f t="shared" si="2"/>
        <v>19</v>
      </c>
      <c r="L40" s="10">
        <f t="shared" si="3"/>
        <v>0.95</v>
      </c>
    </row>
    <row r="41" ht="15.75" customHeight="1">
      <c r="B41" s="9">
        <v>20.0</v>
      </c>
      <c r="C41" s="19" t="s">
        <v>127</v>
      </c>
      <c r="D41" s="9" t="s">
        <v>77</v>
      </c>
      <c r="E41" s="20">
        <v>3.0</v>
      </c>
      <c r="F41" s="8">
        <v>5.0</v>
      </c>
      <c r="G41" s="8">
        <v>3.0</v>
      </c>
      <c r="H41" s="8">
        <v>2.0</v>
      </c>
      <c r="I41" s="8">
        <v>3.0</v>
      </c>
      <c r="J41" s="8">
        <v>2.0</v>
      </c>
      <c r="K41" s="21">
        <f t="shared" si="2"/>
        <v>18</v>
      </c>
      <c r="L41" s="10">
        <f t="shared" si="3"/>
        <v>0.9</v>
      </c>
    </row>
    <row r="42" ht="15.75" customHeight="1">
      <c r="B42" s="9">
        <v>21.0</v>
      </c>
      <c r="C42" s="19" t="s">
        <v>128</v>
      </c>
      <c r="D42" s="9" t="s">
        <v>77</v>
      </c>
      <c r="E42" s="20">
        <v>4.0</v>
      </c>
      <c r="F42" s="8">
        <v>5.0</v>
      </c>
      <c r="G42" s="8">
        <v>3.0</v>
      </c>
      <c r="H42" s="8">
        <v>2.0</v>
      </c>
      <c r="I42" s="8">
        <v>3.0</v>
      </c>
      <c r="J42" s="8">
        <v>2.0</v>
      </c>
      <c r="K42" s="21">
        <f t="shared" si="2"/>
        <v>19</v>
      </c>
      <c r="L42" s="10">
        <f t="shared" si="3"/>
        <v>0.95</v>
      </c>
    </row>
    <row r="43" ht="15.75" customHeight="1">
      <c r="B43" s="9">
        <v>22.0</v>
      </c>
      <c r="C43" s="19" t="s">
        <v>131</v>
      </c>
      <c r="D43" s="9" t="s">
        <v>77</v>
      </c>
      <c r="E43" s="20">
        <v>4.0</v>
      </c>
      <c r="F43" s="8">
        <v>5.0</v>
      </c>
      <c r="G43" s="8">
        <v>3.0</v>
      </c>
      <c r="H43" s="8">
        <v>2.0</v>
      </c>
      <c r="I43" s="8">
        <v>3.0</v>
      </c>
      <c r="J43" s="8">
        <v>2.0</v>
      </c>
      <c r="K43" s="21">
        <f t="shared" si="2"/>
        <v>19</v>
      </c>
      <c r="L43" s="10">
        <f t="shared" si="3"/>
        <v>0.95</v>
      </c>
    </row>
    <row r="44" ht="15.75" customHeight="1">
      <c r="B44" s="9">
        <v>23.0</v>
      </c>
      <c r="C44" s="19" t="s">
        <v>145</v>
      </c>
      <c r="D44" s="9" t="s">
        <v>77</v>
      </c>
      <c r="E44" s="20">
        <v>4.0</v>
      </c>
      <c r="F44" s="8">
        <v>5.0</v>
      </c>
      <c r="G44" s="8">
        <v>3.0</v>
      </c>
      <c r="H44" s="8">
        <v>2.0</v>
      </c>
      <c r="I44" s="8">
        <v>3.0</v>
      </c>
      <c r="J44" s="20">
        <v>0.0</v>
      </c>
      <c r="K44" s="21">
        <f t="shared" si="2"/>
        <v>17</v>
      </c>
      <c r="L44" s="10">
        <f t="shared" si="3"/>
        <v>0.85</v>
      </c>
    </row>
    <row r="45" ht="15.75" customHeight="1">
      <c r="B45" s="9">
        <v>24.0</v>
      </c>
      <c r="C45" s="19" t="s">
        <v>146</v>
      </c>
      <c r="D45" s="9" t="s">
        <v>77</v>
      </c>
      <c r="E45" s="20">
        <v>4.0</v>
      </c>
      <c r="F45" s="8">
        <v>5.0</v>
      </c>
      <c r="G45" s="8">
        <v>3.0</v>
      </c>
      <c r="H45" s="8">
        <v>2.0</v>
      </c>
      <c r="I45" s="8">
        <v>3.0</v>
      </c>
      <c r="J45" s="8">
        <v>2.0</v>
      </c>
      <c r="K45" s="21">
        <f t="shared" si="2"/>
        <v>19</v>
      </c>
      <c r="L45" s="10">
        <f t="shared" si="3"/>
        <v>0.95</v>
      </c>
    </row>
    <row r="46" ht="15.75" customHeight="1">
      <c r="B46" s="9">
        <v>25.0</v>
      </c>
      <c r="C46" s="19" t="s">
        <v>147</v>
      </c>
      <c r="D46" s="9" t="s">
        <v>77</v>
      </c>
      <c r="E46" s="20">
        <v>3.0</v>
      </c>
      <c r="F46" s="20">
        <v>4.0</v>
      </c>
      <c r="G46" s="8">
        <v>3.0</v>
      </c>
      <c r="H46" s="8">
        <v>2.0</v>
      </c>
      <c r="I46" s="8">
        <v>3.0</v>
      </c>
      <c r="J46" s="8">
        <v>2.0</v>
      </c>
      <c r="K46" s="21">
        <f t="shared" si="2"/>
        <v>17</v>
      </c>
      <c r="L46" s="10">
        <f t="shared" si="3"/>
        <v>0.85</v>
      </c>
    </row>
    <row r="47" ht="15.75" customHeight="1">
      <c r="B47" s="9">
        <v>26.0</v>
      </c>
      <c r="C47" s="19" t="s">
        <v>153</v>
      </c>
      <c r="D47" s="9" t="s">
        <v>77</v>
      </c>
      <c r="E47" s="20">
        <v>4.0</v>
      </c>
      <c r="F47" s="20">
        <v>4.0</v>
      </c>
      <c r="G47" s="8">
        <v>3.0</v>
      </c>
      <c r="H47" s="8">
        <v>2.0</v>
      </c>
      <c r="I47" s="8">
        <v>3.0</v>
      </c>
      <c r="J47" s="8">
        <v>2.0</v>
      </c>
      <c r="K47" s="21">
        <f t="shared" si="2"/>
        <v>18</v>
      </c>
      <c r="L47" s="10">
        <f t="shared" si="3"/>
        <v>0.9</v>
      </c>
    </row>
    <row r="48" ht="15.75" customHeight="1">
      <c r="B48" s="9">
        <v>27.0</v>
      </c>
      <c r="C48" s="19" t="s">
        <v>156</v>
      </c>
      <c r="D48" s="9" t="s">
        <v>77</v>
      </c>
      <c r="E48" s="20">
        <v>3.0</v>
      </c>
      <c r="F48" s="8">
        <v>5.0</v>
      </c>
      <c r="G48" s="8">
        <v>3.0</v>
      </c>
      <c r="H48" s="8">
        <v>2.0</v>
      </c>
      <c r="I48" s="8">
        <v>3.0</v>
      </c>
      <c r="J48" s="8">
        <v>2.0</v>
      </c>
      <c r="K48" s="21">
        <f t="shared" si="2"/>
        <v>18</v>
      </c>
      <c r="L48" s="10">
        <f t="shared" si="3"/>
        <v>0.9</v>
      </c>
    </row>
    <row r="49" ht="15.75" customHeight="1">
      <c r="B49" s="9">
        <v>28.0</v>
      </c>
      <c r="C49" s="19" t="s">
        <v>160</v>
      </c>
      <c r="D49" s="9" t="s">
        <v>77</v>
      </c>
      <c r="E49" s="20">
        <v>4.0</v>
      </c>
      <c r="F49" s="8">
        <v>5.0</v>
      </c>
      <c r="G49" s="8">
        <v>3.0</v>
      </c>
      <c r="H49" s="8">
        <v>2.0</v>
      </c>
      <c r="I49" s="20">
        <v>2.0</v>
      </c>
      <c r="J49" s="8">
        <v>2.0</v>
      </c>
      <c r="K49" s="21">
        <f t="shared" si="2"/>
        <v>18</v>
      </c>
      <c r="L49" s="10">
        <f t="shared" si="3"/>
        <v>0.9</v>
      </c>
    </row>
    <row r="50" ht="15.75" customHeight="1">
      <c r="B50" s="9">
        <v>29.0</v>
      </c>
      <c r="C50" s="19" t="s">
        <v>162</v>
      </c>
      <c r="D50" s="9" t="s">
        <v>77</v>
      </c>
      <c r="E50" s="8">
        <v>5.0</v>
      </c>
      <c r="F50" s="20">
        <v>4.0</v>
      </c>
      <c r="G50" s="8">
        <v>3.0</v>
      </c>
      <c r="H50" s="8">
        <v>2.0</v>
      </c>
      <c r="I50" s="8">
        <v>3.0</v>
      </c>
      <c r="J50" s="8">
        <v>2.0</v>
      </c>
      <c r="K50" s="21">
        <f t="shared" si="2"/>
        <v>19</v>
      </c>
      <c r="L50" s="10">
        <f t="shared" si="3"/>
        <v>0.95</v>
      </c>
    </row>
    <row r="51" ht="15.75" customHeight="1">
      <c r="B51" s="9">
        <v>30.0</v>
      </c>
      <c r="C51" s="19" t="s">
        <v>163</v>
      </c>
      <c r="D51" s="9" t="s">
        <v>77</v>
      </c>
      <c r="E51" s="20">
        <v>4.0</v>
      </c>
      <c r="F51" s="8">
        <v>5.0</v>
      </c>
      <c r="G51" s="8">
        <v>3.0</v>
      </c>
      <c r="H51" s="8">
        <v>2.0</v>
      </c>
      <c r="I51" s="8">
        <v>3.0</v>
      </c>
      <c r="J51" s="8">
        <v>2.0</v>
      </c>
      <c r="K51" s="21">
        <f t="shared" si="2"/>
        <v>19</v>
      </c>
      <c r="L51" s="10">
        <f t="shared" si="3"/>
        <v>0.95</v>
      </c>
    </row>
    <row r="52" ht="15.75" customHeight="1">
      <c r="B52" s="9">
        <v>31.0</v>
      </c>
      <c r="C52" s="19" t="s">
        <v>164</v>
      </c>
      <c r="D52" s="9" t="s">
        <v>77</v>
      </c>
      <c r="E52" s="20">
        <v>4.0</v>
      </c>
      <c r="F52" s="8">
        <v>5.0</v>
      </c>
      <c r="G52" s="8">
        <v>3.0</v>
      </c>
      <c r="H52" s="8">
        <v>2.0</v>
      </c>
      <c r="I52" s="8">
        <v>3.0</v>
      </c>
      <c r="J52" s="8">
        <v>2.0</v>
      </c>
      <c r="K52" s="21">
        <f t="shared" si="2"/>
        <v>19</v>
      </c>
      <c r="L52" s="10">
        <f t="shared" si="3"/>
        <v>0.95</v>
      </c>
    </row>
    <row r="53" ht="15.75" customHeight="1">
      <c r="B53" s="9">
        <v>32.0</v>
      </c>
      <c r="C53" s="19" t="s">
        <v>166</v>
      </c>
      <c r="D53" s="9" t="s">
        <v>77</v>
      </c>
      <c r="E53" s="20">
        <v>3.0</v>
      </c>
      <c r="F53" s="8">
        <v>5.0</v>
      </c>
      <c r="G53" s="8">
        <v>3.0</v>
      </c>
      <c r="H53" s="8">
        <v>2.0</v>
      </c>
      <c r="I53" s="20">
        <v>2.0</v>
      </c>
      <c r="J53" s="20">
        <v>1.0</v>
      </c>
      <c r="K53" s="21">
        <f t="shared" si="2"/>
        <v>16</v>
      </c>
      <c r="L53" s="10">
        <f t="shared" si="3"/>
        <v>0.8</v>
      </c>
    </row>
    <row r="54" ht="15.75" customHeight="1">
      <c r="B54" s="9">
        <v>33.0</v>
      </c>
      <c r="C54" s="19" t="s">
        <v>168</v>
      </c>
      <c r="D54" s="9" t="s">
        <v>77</v>
      </c>
      <c r="E54" s="20">
        <v>4.0</v>
      </c>
      <c r="F54" s="8">
        <v>5.0</v>
      </c>
      <c r="G54" s="8">
        <v>3.0</v>
      </c>
      <c r="H54" s="8">
        <v>2.0</v>
      </c>
      <c r="I54" s="8">
        <v>3.0</v>
      </c>
      <c r="J54" s="8">
        <v>2.0</v>
      </c>
      <c r="K54" s="21">
        <f t="shared" si="2"/>
        <v>19</v>
      </c>
      <c r="L54" s="10">
        <f t="shared" si="3"/>
        <v>0.95</v>
      </c>
    </row>
    <row r="55" ht="15.75" customHeight="1">
      <c r="B55" s="9">
        <v>34.0</v>
      </c>
      <c r="C55" s="19" t="s">
        <v>170</v>
      </c>
      <c r="D55" s="9" t="s">
        <v>77</v>
      </c>
      <c r="E55" s="20">
        <v>4.0</v>
      </c>
      <c r="F55" s="8">
        <v>5.0</v>
      </c>
      <c r="G55" s="8">
        <v>3.0</v>
      </c>
      <c r="H55" s="8">
        <v>2.0</v>
      </c>
      <c r="I55" s="8">
        <v>3.0</v>
      </c>
      <c r="J55" s="8">
        <v>2.0</v>
      </c>
      <c r="K55" s="21">
        <f t="shared" si="2"/>
        <v>19</v>
      </c>
      <c r="L55" s="10">
        <f t="shared" si="3"/>
        <v>0.95</v>
      </c>
    </row>
    <row r="56" ht="15.75" customHeight="1">
      <c r="B56" s="9">
        <v>35.0</v>
      </c>
      <c r="C56" s="19" t="s">
        <v>172</v>
      </c>
      <c r="D56" s="9" t="s">
        <v>77</v>
      </c>
      <c r="E56" s="20">
        <v>4.0</v>
      </c>
      <c r="F56" s="8">
        <v>5.0</v>
      </c>
      <c r="G56" s="8">
        <v>3.0</v>
      </c>
      <c r="H56" s="8">
        <v>2.0</v>
      </c>
      <c r="I56" s="8">
        <v>3.0</v>
      </c>
      <c r="J56" s="8">
        <v>2.0</v>
      </c>
      <c r="K56" s="21">
        <f t="shared" si="2"/>
        <v>19</v>
      </c>
      <c r="L56" s="10">
        <f t="shared" si="3"/>
        <v>0.95</v>
      </c>
    </row>
    <row r="57" ht="15.75" customHeight="1">
      <c r="B57" s="9">
        <v>36.0</v>
      </c>
      <c r="C57" s="19" t="s">
        <v>174</v>
      </c>
      <c r="D57" s="9" t="s">
        <v>77</v>
      </c>
      <c r="E57" s="20">
        <v>4.0</v>
      </c>
      <c r="F57" s="8">
        <v>5.0</v>
      </c>
      <c r="G57" s="8">
        <v>3.0</v>
      </c>
      <c r="H57" s="8">
        <v>2.0</v>
      </c>
      <c r="I57" s="8">
        <v>3.0</v>
      </c>
      <c r="J57" s="8">
        <v>2.0</v>
      </c>
      <c r="K57" s="21">
        <f t="shared" si="2"/>
        <v>19</v>
      </c>
      <c r="L57" s="10">
        <f t="shared" si="3"/>
        <v>0.95</v>
      </c>
    </row>
    <row r="58" ht="15.75" customHeight="1">
      <c r="B58" s="28"/>
      <c r="C58" s="11" t="s">
        <v>86</v>
      </c>
      <c r="D58" s="28"/>
      <c r="E58" s="12">
        <f t="shared" ref="E58:K58" si="4">SUM(E22:E57)</f>
        <v>146.5</v>
      </c>
      <c r="F58" s="12">
        <f t="shared" si="4"/>
        <v>169.5</v>
      </c>
      <c r="G58" s="12">
        <f t="shared" si="4"/>
        <v>107</v>
      </c>
      <c r="H58" s="12">
        <f t="shared" si="4"/>
        <v>71</v>
      </c>
      <c r="I58" s="12">
        <f t="shared" si="4"/>
        <v>92</v>
      </c>
      <c r="J58" s="12">
        <f t="shared" si="4"/>
        <v>63</v>
      </c>
      <c r="K58" s="12">
        <f t="shared" si="4"/>
        <v>649</v>
      </c>
      <c r="L58" s="22">
        <f>K58/$F$16</f>
        <v>0.9013888889</v>
      </c>
    </row>
    <row r="59" ht="15.75" customHeight="1"/>
    <row r="60" ht="15.75" customHeight="1"/>
    <row r="61" ht="15.75" customHeight="1">
      <c r="B61" s="32" t="s">
        <v>148</v>
      </c>
    </row>
    <row r="62" ht="15.75" customHeight="1">
      <c r="B62" s="13" t="s">
        <v>149</v>
      </c>
      <c r="E62" s="33">
        <f>K58</f>
        <v>649</v>
      </c>
    </row>
    <row r="63" ht="15.75" customHeight="1">
      <c r="B63" s="13" t="s">
        <v>150</v>
      </c>
      <c r="E63" s="33">
        <f>$F$16</f>
        <v>720</v>
      </c>
    </row>
    <row r="64" ht="15.75" customHeight="1">
      <c r="B64" s="35" t="s">
        <v>152</v>
      </c>
      <c r="E64" s="36">
        <f>E62/E63</f>
        <v>0.9013888889</v>
      </c>
    </row>
    <row r="65" ht="15.75" customHeight="1">
      <c r="B65" s="13" t="s">
        <v>154</v>
      </c>
      <c r="E65" s="37">
        <f>E63-E62</f>
        <v>71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2.63"/>
    <col customWidth="1" min="2" max="2" width="18.13"/>
    <col customWidth="1" min="3" max="3" width="26.25"/>
    <col customWidth="1" min="4" max="4" width="8.75"/>
    <col customWidth="1" min="5" max="10" width="7.88"/>
    <col customWidth="1" min="11" max="11" width="9.63"/>
    <col customWidth="1" min="12" max="12" width="8.75"/>
    <col customWidth="1" min="13" max="26" width="7.63"/>
  </cols>
  <sheetData>
    <row r="2">
      <c r="B2" s="1" t="s">
        <v>3</v>
      </c>
    </row>
    <row r="3">
      <c r="B3" s="2" t="s">
        <v>4</v>
      </c>
    </row>
    <row r="5">
      <c r="B5" s="4" t="s">
        <v>8</v>
      </c>
    </row>
    <row r="6">
      <c r="B6" s="3" t="s">
        <v>7</v>
      </c>
      <c r="C6" s="3" t="s">
        <v>14</v>
      </c>
      <c r="D6" s="3" t="s">
        <v>16</v>
      </c>
      <c r="E6" s="3" t="s">
        <v>19</v>
      </c>
      <c r="F6" s="3" t="s">
        <v>10</v>
      </c>
    </row>
    <row r="7">
      <c r="B7" s="5" t="s">
        <v>12</v>
      </c>
      <c r="C7" s="8">
        <v>3.0</v>
      </c>
      <c r="D7" s="8">
        <v>0.0</v>
      </c>
      <c r="E7" s="8">
        <v>2.0</v>
      </c>
      <c r="F7" s="8">
        <v>4.0</v>
      </c>
    </row>
    <row r="8">
      <c r="B8" s="5" t="s">
        <v>15</v>
      </c>
      <c r="C8" s="8">
        <v>4.0</v>
      </c>
      <c r="D8" s="8">
        <v>0.0</v>
      </c>
      <c r="E8" s="8">
        <v>4.0</v>
      </c>
      <c r="F8" s="8">
        <v>6.0</v>
      </c>
    </row>
    <row r="9">
      <c r="B9" s="5" t="s">
        <v>17</v>
      </c>
      <c r="C9" s="8">
        <v>3.0</v>
      </c>
      <c r="D9" s="8">
        <v>1.0</v>
      </c>
      <c r="E9" s="8">
        <v>0.0</v>
      </c>
      <c r="F9" s="8">
        <v>4.0</v>
      </c>
    </row>
    <row r="10">
      <c r="B10" s="5" t="s">
        <v>21</v>
      </c>
      <c r="C10" s="8">
        <v>1.0</v>
      </c>
      <c r="D10" s="8">
        <v>0.0</v>
      </c>
      <c r="E10" s="8">
        <v>2.0</v>
      </c>
      <c r="F10" s="8">
        <v>2.0</v>
      </c>
    </row>
    <row r="11">
      <c r="B11" s="5" t="s">
        <v>23</v>
      </c>
      <c r="C11" s="8">
        <v>1.0</v>
      </c>
      <c r="D11" s="8">
        <v>0.0</v>
      </c>
      <c r="E11" s="8">
        <v>2.0</v>
      </c>
      <c r="F11" s="8">
        <v>2.0</v>
      </c>
    </row>
    <row r="12">
      <c r="B12" s="5" t="s">
        <v>24</v>
      </c>
      <c r="C12" s="8">
        <v>2.0</v>
      </c>
      <c r="D12" s="8">
        <v>0.0</v>
      </c>
      <c r="E12" s="8">
        <v>2.0</v>
      </c>
      <c r="F12" s="8">
        <v>3.0</v>
      </c>
    </row>
    <row r="13">
      <c r="B13" s="11" t="s">
        <v>44</v>
      </c>
      <c r="C13" s="12">
        <f t="shared" ref="C13:F13" si="1">SUM(C7:C12)</f>
        <v>14</v>
      </c>
      <c r="D13" s="12">
        <f t="shared" si="1"/>
        <v>1</v>
      </c>
      <c r="E13" s="12">
        <f t="shared" si="1"/>
        <v>12</v>
      </c>
      <c r="F13" s="12">
        <f t="shared" si="1"/>
        <v>21</v>
      </c>
    </row>
    <row r="15">
      <c r="B15" s="13" t="s">
        <v>52</v>
      </c>
      <c r="F15" s="14">
        <v>17.0</v>
      </c>
    </row>
    <row r="16">
      <c r="B16" s="18" t="s">
        <v>67</v>
      </c>
      <c r="F16" s="16">
        <f>F13*F15</f>
        <v>357</v>
      </c>
    </row>
    <row r="19">
      <c r="B19" s="4" t="s">
        <v>58</v>
      </c>
    </row>
    <row r="20">
      <c r="B20" s="17" t="s">
        <v>75</v>
      </c>
    </row>
    <row r="21" ht="15.75" customHeight="1">
      <c r="B21" s="3" t="s">
        <v>62</v>
      </c>
      <c r="C21" s="3" t="s">
        <v>9</v>
      </c>
      <c r="D21" s="3" t="s">
        <v>64</v>
      </c>
      <c r="E21" s="3" t="s">
        <v>78</v>
      </c>
      <c r="F21" s="3" t="s">
        <v>79</v>
      </c>
      <c r="G21" s="3" t="s">
        <v>80</v>
      </c>
      <c r="H21" s="3" t="s">
        <v>81</v>
      </c>
      <c r="I21" s="3" t="s">
        <v>82</v>
      </c>
      <c r="J21" s="3" t="s">
        <v>83</v>
      </c>
      <c r="K21" s="3" t="s">
        <v>13</v>
      </c>
      <c r="L21" s="3" t="s">
        <v>84</v>
      </c>
    </row>
    <row r="22" ht="15.75" customHeight="1">
      <c r="B22" s="9">
        <v>1.0</v>
      </c>
      <c r="C22" s="19" t="s">
        <v>25</v>
      </c>
      <c r="D22" s="9" t="s">
        <v>77</v>
      </c>
      <c r="E22" s="8">
        <v>4.0</v>
      </c>
      <c r="F22" s="8">
        <v>5.0</v>
      </c>
      <c r="G22" s="8">
        <v>3.0</v>
      </c>
      <c r="H22" s="8">
        <v>2.0</v>
      </c>
      <c r="I22" s="8">
        <v>2.0</v>
      </c>
      <c r="J22" s="8">
        <v>0.0</v>
      </c>
      <c r="K22" s="21">
        <f t="shared" ref="K22:K37" si="2">SUM(E22:J22)</f>
        <v>16</v>
      </c>
      <c r="L22" s="10">
        <f>K22/F13</f>
        <v>0.7619047619</v>
      </c>
    </row>
    <row r="23" ht="15.75" customHeight="1">
      <c r="B23" s="9">
        <v>2.0</v>
      </c>
      <c r="C23" s="19" t="s">
        <v>32</v>
      </c>
      <c r="D23" s="9" t="s">
        <v>95</v>
      </c>
      <c r="E23" s="8">
        <v>4.0</v>
      </c>
      <c r="F23" s="8">
        <v>6.0</v>
      </c>
      <c r="G23" s="8">
        <v>4.0</v>
      </c>
      <c r="H23" s="8">
        <v>2.0</v>
      </c>
      <c r="I23" s="8">
        <v>2.0</v>
      </c>
      <c r="J23" s="8">
        <v>2.0</v>
      </c>
      <c r="K23" s="21">
        <f t="shared" si="2"/>
        <v>20</v>
      </c>
      <c r="L23" s="10">
        <f>K23/F13</f>
        <v>0.9523809524</v>
      </c>
    </row>
    <row r="24" ht="15.75" customHeight="1">
      <c r="B24" s="9">
        <v>3.0</v>
      </c>
      <c r="C24" s="19" t="s">
        <v>35</v>
      </c>
      <c r="D24" s="9" t="s">
        <v>95</v>
      </c>
      <c r="E24" s="8">
        <v>4.0</v>
      </c>
      <c r="F24" s="8">
        <v>5.0</v>
      </c>
      <c r="G24" s="8">
        <v>3.0</v>
      </c>
      <c r="H24" s="8">
        <v>2.0</v>
      </c>
      <c r="I24" s="8">
        <v>2.0</v>
      </c>
      <c r="J24" s="8">
        <v>2.0</v>
      </c>
      <c r="K24" s="21">
        <f t="shared" si="2"/>
        <v>18</v>
      </c>
      <c r="L24" s="10">
        <f>K24/F13</f>
        <v>0.8571428571</v>
      </c>
    </row>
    <row r="25" ht="15.75" customHeight="1">
      <c r="B25" s="9">
        <v>4.0</v>
      </c>
      <c r="C25" s="19" t="s">
        <v>40</v>
      </c>
      <c r="D25" s="9" t="s">
        <v>95</v>
      </c>
      <c r="E25" s="8">
        <v>4.0</v>
      </c>
      <c r="F25" s="8">
        <v>6.0</v>
      </c>
      <c r="G25" s="8">
        <v>4.0</v>
      </c>
      <c r="H25" s="8">
        <v>2.0</v>
      </c>
      <c r="I25" s="8">
        <v>2.0</v>
      </c>
      <c r="J25" s="8">
        <v>3.0</v>
      </c>
      <c r="K25" s="21">
        <f t="shared" si="2"/>
        <v>21</v>
      </c>
      <c r="L25" s="10">
        <f>K25/F13</f>
        <v>1</v>
      </c>
    </row>
    <row r="26" ht="15.75" customHeight="1">
      <c r="B26" s="9">
        <v>5.0</v>
      </c>
      <c r="C26" s="19" t="s">
        <v>43</v>
      </c>
      <c r="D26" s="9" t="s">
        <v>77</v>
      </c>
      <c r="E26" s="8">
        <v>4.0</v>
      </c>
      <c r="F26" s="8">
        <v>4.0</v>
      </c>
      <c r="G26" s="8">
        <v>3.0</v>
      </c>
      <c r="H26" s="8">
        <v>2.0</v>
      </c>
      <c r="I26" s="8">
        <v>0.0</v>
      </c>
      <c r="J26" s="20">
        <v>3.0</v>
      </c>
      <c r="K26" s="21">
        <f t="shared" si="2"/>
        <v>16</v>
      </c>
      <c r="L26" s="10">
        <f>K26/F13</f>
        <v>0.7619047619</v>
      </c>
    </row>
    <row r="27" ht="15.75" customHeight="1">
      <c r="B27" s="9">
        <v>6.0</v>
      </c>
      <c r="C27" s="19" t="s">
        <v>46</v>
      </c>
      <c r="D27" s="9" t="s">
        <v>95</v>
      </c>
      <c r="E27" s="8">
        <v>4.0</v>
      </c>
      <c r="F27" s="8">
        <v>4.0</v>
      </c>
      <c r="G27" s="8">
        <v>3.0</v>
      </c>
      <c r="H27" s="8">
        <v>2.0</v>
      </c>
      <c r="I27" s="8">
        <v>2.0</v>
      </c>
      <c r="J27" s="8">
        <v>2.0</v>
      </c>
      <c r="K27" s="21">
        <f t="shared" si="2"/>
        <v>17</v>
      </c>
      <c r="L27" s="10">
        <f>K27/F13</f>
        <v>0.8095238095</v>
      </c>
    </row>
    <row r="28" ht="15.75" customHeight="1">
      <c r="B28" s="9">
        <v>7.0</v>
      </c>
      <c r="C28" s="19" t="s">
        <v>48</v>
      </c>
      <c r="D28" s="9" t="s">
        <v>95</v>
      </c>
      <c r="E28" s="8">
        <v>4.0</v>
      </c>
      <c r="F28" s="8">
        <v>5.0</v>
      </c>
      <c r="G28" s="8">
        <v>3.0</v>
      </c>
      <c r="H28" s="8">
        <v>2.0</v>
      </c>
      <c r="I28" s="8">
        <v>2.0</v>
      </c>
      <c r="J28" s="8">
        <v>2.0</v>
      </c>
      <c r="K28" s="21">
        <f t="shared" si="2"/>
        <v>18</v>
      </c>
      <c r="L28" s="10">
        <f>K28/F13</f>
        <v>0.8571428571</v>
      </c>
    </row>
    <row r="29" ht="15.75" customHeight="1">
      <c r="B29" s="9">
        <v>8.0</v>
      </c>
      <c r="C29" s="19" t="s">
        <v>51</v>
      </c>
      <c r="D29" s="9" t="s">
        <v>77</v>
      </c>
      <c r="E29" s="8">
        <v>4.0</v>
      </c>
      <c r="F29" s="8">
        <v>4.0</v>
      </c>
      <c r="G29" s="8">
        <v>4.0</v>
      </c>
      <c r="H29" s="20">
        <v>2.0</v>
      </c>
      <c r="I29" s="8">
        <v>2.0</v>
      </c>
      <c r="J29" s="8">
        <v>0.0</v>
      </c>
      <c r="K29" s="21">
        <f t="shared" si="2"/>
        <v>16</v>
      </c>
      <c r="L29" s="10">
        <f>K29/F13</f>
        <v>0.7619047619</v>
      </c>
    </row>
    <row r="30" ht="15.75" customHeight="1">
      <c r="B30" s="9">
        <v>9.0</v>
      </c>
      <c r="C30" s="19" t="s">
        <v>57</v>
      </c>
      <c r="D30" s="9" t="s">
        <v>95</v>
      </c>
      <c r="E30" s="20">
        <v>4.0</v>
      </c>
      <c r="F30" s="8">
        <v>4.5</v>
      </c>
      <c r="G30" s="8">
        <v>3.0</v>
      </c>
      <c r="H30" s="8">
        <v>2.0</v>
      </c>
      <c r="I30" s="8">
        <v>2.0</v>
      </c>
      <c r="J30" s="8">
        <v>2.0</v>
      </c>
      <c r="K30" s="21">
        <f t="shared" si="2"/>
        <v>17.5</v>
      </c>
      <c r="L30" s="10">
        <f>K30/F13</f>
        <v>0.8333333333</v>
      </c>
    </row>
    <row r="31" ht="15.75" customHeight="1">
      <c r="B31" s="9">
        <v>10.0</v>
      </c>
      <c r="C31" s="19" t="s">
        <v>63</v>
      </c>
      <c r="D31" s="9" t="s">
        <v>122</v>
      </c>
      <c r="E31" s="8">
        <v>4.0</v>
      </c>
      <c r="F31" s="8">
        <v>4.0</v>
      </c>
      <c r="G31" s="8">
        <v>4.0</v>
      </c>
      <c r="H31" s="20">
        <v>2.0</v>
      </c>
      <c r="I31" s="8">
        <v>2.0</v>
      </c>
      <c r="J31" s="8">
        <v>2.0</v>
      </c>
      <c r="K31" s="21">
        <f t="shared" si="2"/>
        <v>18</v>
      </c>
      <c r="L31" s="10">
        <f>K31/F13</f>
        <v>0.8571428571</v>
      </c>
    </row>
    <row r="32" ht="15.75" customHeight="1">
      <c r="B32" s="9">
        <v>11.0</v>
      </c>
      <c r="C32" s="19" t="s">
        <v>70</v>
      </c>
      <c r="D32" s="9" t="s">
        <v>122</v>
      </c>
      <c r="E32" s="8">
        <v>4.0</v>
      </c>
      <c r="F32" s="8">
        <v>4.0</v>
      </c>
      <c r="G32" s="20">
        <v>4.0</v>
      </c>
      <c r="H32" s="20">
        <v>2.0</v>
      </c>
      <c r="I32" s="8">
        <v>2.0</v>
      </c>
      <c r="J32" s="8">
        <v>2.0</v>
      </c>
      <c r="K32" s="21">
        <f t="shared" si="2"/>
        <v>18</v>
      </c>
      <c r="L32" s="10">
        <f>K32/F13</f>
        <v>0.8571428571</v>
      </c>
    </row>
    <row r="33" ht="15.75" customHeight="1">
      <c r="B33" s="9">
        <v>12.0</v>
      </c>
      <c r="C33" s="19" t="s">
        <v>76</v>
      </c>
      <c r="D33" s="9" t="s">
        <v>122</v>
      </c>
      <c r="E33" s="8">
        <v>4.0</v>
      </c>
      <c r="F33" s="8">
        <v>4.0</v>
      </c>
      <c r="G33" s="8">
        <v>4.0</v>
      </c>
      <c r="H33" s="20">
        <v>2.0</v>
      </c>
      <c r="I33" s="8">
        <v>2.0</v>
      </c>
      <c r="J33" s="8">
        <v>2.0</v>
      </c>
      <c r="K33" s="21">
        <f t="shared" si="2"/>
        <v>18</v>
      </c>
      <c r="L33" s="10">
        <f>K33/F13</f>
        <v>0.8571428571</v>
      </c>
    </row>
    <row r="34" ht="15.75" customHeight="1">
      <c r="B34" s="9">
        <v>13.0</v>
      </c>
      <c r="C34" s="19" t="s">
        <v>85</v>
      </c>
      <c r="D34" s="9" t="s">
        <v>95</v>
      </c>
      <c r="E34" s="8">
        <v>4.0</v>
      </c>
      <c r="F34" s="8">
        <v>6.0</v>
      </c>
      <c r="G34" s="8">
        <v>4.0</v>
      </c>
      <c r="H34" s="8">
        <v>2.0</v>
      </c>
      <c r="I34" s="8">
        <v>2.0</v>
      </c>
      <c r="J34" s="8">
        <v>3.0</v>
      </c>
      <c r="K34" s="21">
        <f t="shared" si="2"/>
        <v>21</v>
      </c>
      <c r="L34" s="10">
        <f>K34/F13</f>
        <v>1</v>
      </c>
    </row>
    <row r="35" ht="15.75" customHeight="1">
      <c r="B35" s="9">
        <v>14.0</v>
      </c>
      <c r="C35" s="19" t="s">
        <v>87</v>
      </c>
      <c r="D35" s="9" t="s">
        <v>95</v>
      </c>
      <c r="E35" s="8">
        <v>4.0</v>
      </c>
      <c r="F35" s="8">
        <v>4.0</v>
      </c>
      <c r="G35" s="8">
        <v>4.0</v>
      </c>
      <c r="H35" s="8">
        <v>1.0</v>
      </c>
      <c r="I35" s="8">
        <v>2.0</v>
      </c>
      <c r="J35" s="8">
        <v>0.0</v>
      </c>
      <c r="K35" s="21">
        <f t="shared" si="2"/>
        <v>15</v>
      </c>
      <c r="L35" s="10">
        <f>K35/F13</f>
        <v>0.7142857143</v>
      </c>
    </row>
    <row r="36" ht="15.75" customHeight="1">
      <c r="B36" s="9">
        <v>15.0</v>
      </c>
      <c r="C36" s="19" t="s">
        <v>92</v>
      </c>
      <c r="D36" s="9" t="s">
        <v>95</v>
      </c>
      <c r="E36" s="8">
        <v>4.0</v>
      </c>
      <c r="F36" s="8">
        <v>6.0</v>
      </c>
      <c r="G36" s="8">
        <v>4.0</v>
      </c>
      <c r="H36" s="8">
        <v>2.0</v>
      </c>
      <c r="I36" s="8">
        <v>2.0</v>
      </c>
      <c r="J36" s="8">
        <v>2.0</v>
      </c>
      <c r="K36" s="21">
        <f t="shared" si="2"/>
        <v>20</v>
      </c>
      <c r="L36" s="10">
        <f>K36/F13</f>
        <v>0.9523809524</v>
      </c>
    </row>
    <row r="37" ht="15.75" customHeight="1">
      <c r="B37" s="9">
        <v>16.0</v>
      </c>
      <c r="C37" s="19" t="s">
        <v>96</v>
      </c>
      <c r="D37" s="9" t="s">
        <v>77</v>
      </c>
      <c r="E37" s="8">
        <v>4.0</v>
      </c>
      <c r="F37" s="8">
        <v>6.0</v>
      </c>
      <c r="G37" s="8">
        <v>4.0</v>
      </c>
      <c r="H37" s="8">
        <v>2.0</v>
      </c>
      <c r="I37" s="8">
        <v>2.0</v>
      </c>
      <c r="J37" s="8">
        <v>3.0</v>
      </c>
      <c r="K37" s="21">
        <f t="shared" si="2"/>
        <v>21</v>
      </c>
      <c r="L37" s="10">
        <f>K37/F13</f>
        <v>1</v>
      </c>
    </row>
    <row r="38" ht="15.75" customHeight="1">
      <c r="B38" s="28"/>
      <c r="C38" s="11" t="s">
        <v>86</v>
      </c>
      <c r="D38" s="28"/>
      <c r="E38" s="12">
        <f t="shared" ref="E38:K38" si="3">SUM(E22:E37)</f>
        <v>64</v>
      </c>
      <c r="F38" s="12">
        <f t="shared" si="3"/>
        <v>77.5</v>
      </c>
      <c r="G38" s="12">
        <f t="shared" si="3"/>
        <v>58</v>
      </c>
      <c r="H38" s="12">
        <f t="shared" si="3"/>
        <v>31</v>
      </c>
      <c r="I38" s="12">
        <f t="shared" si="3"/>
        <v>30</v>
      </c>
      <c r="J38" s="12">
        <f t="shared" si="3"/>
        <v>30</v>
      </c>
      <c r="K38" s="12">
        <f t="shared" si="3"/>
        <v>290.5</v>
      </c>
      <c r="L38" s="23">
        <f>K38/F16</f>
        <v>0.8137254902</v>
      </c>
    </row>
    <row r="39" ht="15.75" customHeight="1"/>
    <row r="40" ht="15.75" customHeight="1"/>
    <row r="41" ht="15.75" customHeight="1">
      <c r="B41" s="32" t="s">
        <v>148</v>
      </c>
    </row>
    <row r="42" ht="15.75" customHeight="1">
      <c r="B42" s="13" t="s">
        <v>149</v>
      </c>
      <c r="E42" s="33">
        <f>K38</f>
        <v>290.5</v>
      </c>
    </row>
    <row r="43" ht="15.75" customHeight="1">
      <c r="B43" s="13" t="s">
        <v>150</v>
      </c>
      <c r="E43" s="33">
        <f>F16</f>
        <v>357</v>
      </c>
    </row>
    <row r="44" ht="15.75" customHeight="1">
      <c r="B44" s="35" t="s">
        <v>152</v>
      </c>
      <c r="E44" s="36">
        <f>E42/E43</f>
        <v>0.8137254902</v>
      </c>
    </row>
    <row r="45" ht="15.75" customHeight="1">
      <c r="B45" s="13" t="s">
        <v>154</v>
      </c>
      <c r="E45" s="37">
        <f>E43-E42</f>
        <v>66.5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29.75"/>
    <col customWidth="1" min="3" max="3" width="14.0"/>
    <col customWidth="1" min="4" max="4" width="12.25"/>
    <col customWidth="1" min="5" max="5" width="10.5"/>
    <col customWidth="1" min="6" max="6" width="8.75"/>
    <col customWidth="1" min="7" max="7" width="12.25"/>
    <col customWidth="1" min="8" max="8" width="14.88"/>
    <col customWidth="1" min="9" max="26" width="7.63"/>
  </cols>
  <sheetData>
    <row r="2">
      <c r="B2" s="1" t="s">
        <v>0</v>
      </c>
    </row>
    <row r="4">
      <c r="B4" s="3" t="s">
        <v>7</v>
      </c>
      <c r="C4" s="3" t="s">
        <v>10</v>
      </c>
      <c r="D4" s="3" t="s">
        <v>11</v>
      </c>
      <c r="E4" s="3" t="s">
        <v>13</v>
      </c>
      <c r="F4" s="3" t="s">
        <v>18</v>
      </c>
      <c r="G4" s="3" t="s">
        <v>20</v>
      </c>
      <c r="H4" s="3" t="s">
        <v>22</v>
      </c>
    </row>
    <row r="5">
      <c r="B5" s="5" t="s">
        <v>12</v>
      </c>
      <c r="C5" s="9">
        <f>'Semester 3 Credit Acceptance 20'!F7</f>
        <v>4</v>
      </c>
      <c r="D5" s="9">
        <f>C5*'Semester 3 Credit Acceptance 20'!$F$15</f>
        <v>68</v>
      </c>
      <c r="E5" s="9">
        <f>'Semester 3 Credit Acceptance 20'!E38</f>
        <v>64</v>
      </c>
      <c r="F5" s="9">
        <f t="shared" ref="F5:F10" si="1">D5-E5</f>
        <v>4</v>
      </c>
      <c r="G5" s="10">
        <f t="shared" ref="G5:G11" si="2">E5/D5</f>
        <v>0.9411764706</v>
      </c>
      <c r="H5" s="10">
        <f t="shared" ref="H5:H10" si="3">F5/$F$11</f>
        <v>0.06015037594</v>
      </c>
    </row>
    <row r="6">
      <c r="B6" s="5" t="s">
        <v>15</v>
      </c>
      <c r="C6" s="9">
        <f>'Semester 3 Credit Acceptance 20'!F8</f>
        <v>6</v>
      </c>
      <c r="D6" s="9">
        <f>C6*'Semester 3 Credit Acceptance 20'!$F$15</f>
        <v>102</v>
      </c>
      <c r="E6" s="9">
        <f>'Semester 3 Credit Acceptance 20'!F38</f>
        <v>77.5</v>
      </c>
      <c r="F6" s="9">
        <f t="shared" si="1"/>
        <v>24.5</v>
      </c>
      <c r="G6" s="10">
        <f t="shared" si="2"/>
        <v>0.7598039216</v>
      </c>
      <c r="H6" s="10">
        <f t="shared" si="3"/>
        <v>0.3684210526</v>
      </c>
    </row>
    <row r="7">
      <c r="B7" s="5" t="s">
        <v>17</v>
      </c>
      <c r="C7" s="9">
        <f>'Semester 3 Credit Acceptance 20'!F9</f>
        <v>4</v>
      </c>
      <c r="D7" s="9">
        <f>C7*'Semester 3 Credit Acceptance 20'!$F$15</f>
        <v>68</v>
      </c>
      <c r="E7" s="9">
        <f>'Semester 3 Credit Acceptance 20'!G38</f>
        <v>58</v>
      </c>
      <c r="F7" s="9">
        <f t="shared" si="1"/>
        <v>10</v>
      </c>
      <c r="G7" s="10">
        <f t="shared" si="2"/>
        <v>0.8529411765</v>
      </c>
      <c r="H7" s="10">
        <f t="shared" si="3"/>
        <v>0.1503759398</v>
      </c>
    </row>
    <row r="8">
      <c r="B8" s="5" t="s">
        <v>21</v>
      </c>
      <c r="C8" s="9">
        <f>'Semester 3 Credit Acceptance 20'!F10</f>
        <v>2</v>
      </c>
      <c r="D8" s="9">
        <f>C8*'Semester 3 Credit Acceptance 20'!$F$15</f>
        <v>34</v>
      </c>
      <c r="E8" s="9">
        <f>'Semester 3 Credit Acceptance 20'!H38</f>
        <v>31</v>
      </c>
      <c r="F8" s="9">
        <f t="shared" si="1"/>
        <v>3</v>
      </c>
      <c r="G8" s="10">
        <f t="shared" si="2"/>
        <v>0.9117647059</v>
      </c>
      <c r="H8" s="10">
        <f t="shared" si="3"/>
        <v>0.04511278195</v>
      </c>
    </row>
    <row r="9">
      <c r="B9" s="5" t="s">
        <v>23</v>
      </c>
      <c r="C9" s="9">
        <f>'Semester 3 Credit Acceptance 20'!F11</f>
        <v>2</v>
      </c>
      <c r="D9" s="9">
        <f>C9*'Semester 3 Credit Acceptance 20'!$F$15</f>
        <v>34</v>
      </c>
      <c r="E9" s="9">
        <f>'Semester 3 Credit Acceptance 20'!I38</f>
        <v>30</v>
      </c>
      <c r="F9" s="9">
        <f t="shared" si="1"/>
        <v>4</v>
      </c>
      <c r="G9" s="10">
        <f t="shared" si="2"/>
        <v>0.8823529412</v>
      </c>
      <c r="H9" s="10">
        <f t="shared" si="3"/>
        <v>0.06015037594</v>
      </c>
    </row>
    <row r="10">
      <c r="B10" s="5" t="s">
        <v>24</v>
      </c>
      <c r="C10" s="9">
        <f>'Semester 3 Credit Acceptance 20'!F12</f>
        <v>3</v>
      </c>
      <c r="D10" s="9">
        <f>C10*'Semester 3 Credit Acceptance 20'!$F$15</f>
        <v>51</v>
      </c>
      <c r="E10" s="9">
        <f>'Semester 3 Credit Acceptance 20'!J38</f>
        <v>30</v>
      </c>
      <c r="F10" s="9">
        <f t="shared" si="1"/>
        <v>21</v>
      </c>
      <c r="G10" s="10">
        <f t="shared" si="2"/>
        <v>0.5882352941</v>
      </c>
      <c r="H10" s="10">
        <f t="shared" si="3"/>
        <v>0.3157894737</v>
      </c>
    </row>
    <row r="11">
      <c r="B11" s="11" t="s">
        <v>86</v>
      </c>
      <c r="C11" s="12">
        <f t="shared" ref="C11:F11" si="4">SUM(C5:C10)</f>
        <v>21</v>
      </c>
      <c r="D11" s="12">
        <f t="shared" si="4"/>
        <v>357</v>
      </c>
      <c r="E11" s="12">
        <f t="shared" si="4"/>
        <v>290.5</v>
      </c>
      <c r="F11" s="12">
        <f t="shared" si="4"/>
        <v>66.5</v>
      </c>
      <c r="G11" s="22">
        <f t="shared" si="2"/>
        <v>0.8137254902</v>
      </c>
      <c r="H11" s="23">
        <v>1.0</v>
      </c>
    </row>
    <row r="13">
      <c r="B13" s="4" t="s">
        <v>91</v>
      </c>
    </row>
    <row r="14">
      <c r="B14" s="24" t="s">
        <v>93</v>
      </c>
    </row>
    <row r="15">
      <c r="B15" s="24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26.25"/>
    <col customWidth="1" min="3" max="8" width="23.63"/>
    <col customWidth="1" min="9" max="26" width="7.63"/>
  </cols>
  <sheetData>
    <row r="2">
      <c r="B2" s="1" t="s">
        <v>2</v>
      </c>
    </row>
    <row r="3">
      <c r="B3" s="2" t="s">
        <v>6</v>
      </c>
    </row>
    <row r="5">
      <c r="B5" s="3" t="s">
        <v>9</v>
      </c>
      <c r="C5" s="3" t="s">
        <v>12</v>
      </c>
      <c r="D5" s="3" t="s">
        <v>15</v>
      </c>
      <c r="E5" s="3" t="s">
        <v>17</v>
      </c>
      <c r="F5" s="3" t="s">
        <v>21</v>
      </c>
      <c r="G5" s="3" t="s">
        <v>23</v>
      </c>
      <c r="H5" s="3" t="s">
        <v>24</v>
      </c>
    </row>
    <row r="6">
      <c r="B6" s="6" t="s">
        <v>25</v>
      </c>
      <c r="C6" s="7" t="s">
        <v>26</v>
      </c>
      <c r="D6" s="7" t="s">
        <v>15</v>
      </c>
      <c r="E6" s="7" t="s">
        <v>17</v>
      </c>
      <c r="F6" s="7" t="s">
        <v>28</v>
      </c>
      <c r="G6" s="7" t="s">
        <v>29</v>
      </c>
      <c r="H6" s="7" t="s">
        <v>30</v>
      </c>
    </row>
    <row r="7">
      <c r="B7" s="6" t="s">
        <v>32</v>
      </c>
      <c r="C7" s="7" t="s">
        <v>12</v>
      </c>
      <c r="D7" s="7" t="s">
        <v>15</v>
      </c>
      <c r="E7" s="7" t="s">
        <v>17</v>
      </c>
      <c r="F7" s="7" t="s">
        <v>21</v>
      </c>
      <c r="G7" s="7" t="s">
        <v>23</v>
      </c>
      <c r="H7" s="7" t="s">
        <v>34</v>
      </c>
    </row>
    <row r="8">
      <c r="B8" s="6" t="s">
        <v>35</v>
      </c>
      <c r="C8" s="7" t="s">
        <v>36</v>
      </c>
      <c r="D8" s="7" t="s">
        <v>15</v>
      </c>
      <c r="E8" s="7" t="s">
        <v>17</v>
      </c>
      <c r="F8" s="7" t="s">
        <v>21</v>
      </c>
      <c r="G8" s="7" t="s">
        <v>38</v>
      </c>
      <c r="H8" s="7" t="s">
        <v>39</v>
      </c>
    </row>
    <row r="9">
      <c r="B9" s="6" t="s">
        <v>40</v>
      </c>
      <c r="C9" s="7" t="s">
        <v>12</v>
      </c>
      <c r="D9" s="7" t="s">
        <v>15</v>
      </c>
      <c r="E9" s="7" t="s">
        <v>17</v>
      </c>
      <c r="F9" s="7" t="s">
        <v>21</v>
      </c>
      <c r="G9" s="7" t="s">
        <v>23</v>
      </c>
      <c r="H9" s="7" t="s">
        <v>24</v>
      </c>
    </row>
    <row r="10">
      <c r="B10" s="6" t="s">
        <v>43</v>
      </c>
      <c r="C10" s="7" t="s">
        <v>12</v>
      </c>
      <c r="D10" s="7" t="s">
        <v>15</v>
      </c>
      <c r="E10" s="7" t="s">
        <v>17</v>
      </c>
      <c r="F10" s="7" t="s">
        <v>21</v>
      </c>
      <c r="G10" s="7" t="s">
        <v>45</v>
      </c>
      <c r="H10" s="7" t="s">
        <v>24</v>
      </c>
    </row>
    <row r="11">
      <c r="B11" s="6" t="s">
        <v>46</v>
      </c>
      <c r="C11" s="7" t="s">
        <v>12</v>
      </c>
      <c r="D11" s="7" t="s">
        <v>47</v>
      </c>
      <c r="E11" s="7" t="s">
        <v>17</v>
      </c>
      <c r="F11" s="7" t="s">
        <v>21</v>
      </c>
      <c r="G11" s="7" t="s">
        <v>23</v>
      </c>
      <c r="H11" s="7" t="s">
        <v>24</v>
      </c>
    </row>
    <row r="12">
      <c r="B12" s="6" t="s">
        <v>48</v>
      </c>
      <c r="C12" s="7" t="s">
        <v>12</v>
      </c>
      <c r="D12" s="7" t="s">
        <v>49</v>
      </c>
      <c r="E12" s="7" t="s">
        <v>50</v>
      </c>
      <c r="F12" s="7" t="s">
        <v>21</v>
      </c>
      <c r="G12" s="7" t="s">
        <v>23</v>
      </c>
      <c r="H12" s="7" t="s">
        <v>34</v>
      </c>
    </row>
    <row r="13">
      <c r="B13" s="6" t="s">
        <v>51</v>
      </c>
      <c r="C13" s="7" t="s">
        <v>12</v>
      </c>
      <c r="D13" s="7" t="s">
        <v>47</v>
      </c>
      <c r="E13" s="7" t="s">
        <v>17</v>
      </c>
      <c r="F13" s="7" t="s">
        <v>53</v>
      </c>
      <c r="G13" s="7" t="s">
        <v>55</v>
      </c>
      <c r="H13" s="15" t="s">
        <v>56</v>
      </c>
    </row>
    <row r="14">
      <c r="B14" s="6" t="s">
        <v>57</v>
      </c>
      <c r="C14" s="7" t="s">
        <v>12</v>
      </c>
      <c r="D14" s="7" t="s">
        <v>47</v>
      </c>
      <c r="E14" s="7" t="s">
        <v>17</v>
      </c>
      <c r="F14" s="7" t="s">
        <v>59</v>
      </c>
      <c r="G14" s="7" t="s">
        <v>23</v>
      </c>
      <c r="H14" s="7" t="s">
        <v>61</v>
      </c>
    </row>
    <row r="15">
      <c r="B15" s="6" t="s">
        <v>63</v>
      </c>
      <c r="C15" s="7" t="s">
        <v>12</v>
      </c>
      <c r="D15" s="7" t="s">
        <v>15</v>
      </c>
      <c r="E15" s="7" t="s">
        <v>17</v>
      </c>
      <c r="F15" s="7" t="s">
        <v>21</v>
      </c>
      <c r="G15" s="7" t="s">
        <v>23</v>
      </c>
      <c r="H15" s="7" t="s">
        <v>24</v>
      </c>
    </row>
    <row r="16">
      <c r="B16" s="6" t="s">
        <v>70</v>
      </c>
      <c r="C16" s="7" t="s">
        <v>12</v>
      </c>
      <c r="D16" s="7" t="s">
        <v>15</v>
      </c>
      <c r="E16" s="7" t="s">
        <v>17</v>
      </c>
      <c r="F16" s="7" t="s">
        <v>21</v>
      </c>
      <c r="G16" s="7" t="s">
        <v>23</v>
      </c>
      <c r="H16" s="7" t="s">
        <v>24</v>
      </c>
    </row>
    <row r="17">
      <c r="B17" s="6" t="s">
        <v>76</v>
      </c>
      <c r="C17" s="7" t="s">
        <v>12</v>
      </c>
      <c r="D17" s="7" t="s">
        <v>15</v>
      </c>
      <c r="E17" s="7" t="s">
        <v>17</v>
      </c>
      <c r="F17" s="7" t="s">
        <v>21</v>
      </c>
      <c r="G17" s="7" t="s">
        <v>23</v>
      </c>
      <c r="H17" s="7" t="s">
        <v>24</v>
      </c>
    </row>
    <row r="18">
      <c r="B18" s="6" t="s">
        <v>85</v>
      </c>
      <c r="C18" s="7" t="s">
        <v>12</v>
      </c>
      <c r="D18" s="7" t="s">
        <v>15</v>
      </c>
      <c r="E18" s="7" t="s">
        <v>17</v>
      </c>
      <c r="F18" s="7" t="s">
        <v>21</v>
      </c>
      <c r="G18" s="7" t="s">
        <v>23</v>
      </c>
      <c r="H18" s="7" t="s">
        <v>34</v>
      </c>
    </row>
    <row r="19">
      <c r="B19" s="6" t="s">
        <v>87</v>
      </c>
      <c r="C19" s="7" t="s">
        <v>88</v>
      </c>
      <c r="D19" s="7" t="s">
        <v>89</v>
      </c>
      <c r="E19" s="7" t="s">
        <v>17</v>
      </c>
      <c r="F19" s="7" t="s">
        <v>90</v>
      </c>
      <c r="G19" s="7" t="s">
        <v>23</v>
      </c>
      <c r="H19" s="15" t="s">
        <v>56</v>
      </c>
    </row>
    <row r="20">
      <c r="B20" s="6" t="s">
        <v>92</v>
      </c>
      <c r="C20" s="7" t="s">
        <v>12</v>
      </c>
      <c r="D20" s="7" t="s">
        <v>47</v>
      </c>
      <c r="E20" s="7" t="s">
        <v>17</v>
      </c>
      <c r="F20" s="7" t="s">
        <v>21</v>
      </c>
      <c r="G20" s="7" t="s">
        <v>23</v>
      </c>
      <c r="H20" s="7" t="s">
        <v>24</v>
      </c>
    </row>
    <row r="21" ht="15.75" customHeight="1">
      <c r="B21" s="6" t="s">
        <v>96</v>
      </c>
      <c r="C21" s="7" t="s">
        <v>12</v>
      </c>
      <c r="D21" s="7" t="s">
        <v>15</v>
      </c>
      <c r="E21" s="7" t="s">
        <v>17</v>
      </c>
      <c r="F21" s="7" t="s">
        <v>21</v>
      </c>
      <c r="G21" s="7" t="s">
        <v>23</v>
      </c>
      <c r="H21" s="7" t="s">
        <v>97</v>
      </c>
    </row>
    <row r="22" ht="15.75" customHeight="1">
      <c r="B22" s="6" t="s">
        <v>98</v>
      </c>
      <c r="C22" s="15" t="s">
        <v>56</v>
      </c>
      <c r="D22" s="7" t="s">
        <v>99</v>
      </c>
      <c r="E22" s="7" t="s">
        <v>100</v>
      </c>
      <c r="F22" s="15" t="s">
        <v>56</v>
      </c>
      <c r="G22" s="7" t="s">
        <v>101</v>
      </c>
      <c r="H22" s="15" t="s">
        <v>56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21.0"/>
    <col customWidth="1" min="3" max="3" width="91.88"/>
    <col customWidth="1" min="4" max="26" width="7.63"/>
  </cols>
  <sheetData>
    <row r="2">
      <c r="B2" s="1" t="s">
        <v>102</v>
      </c>
    </row>
    <row r="4" ht="30.0" customHeight="1">
      <c r="B4" s="25" t="s">
        <v>103</v>
      </c>
      <c r="C4" s="26" t="s">
        <v>104</v>
      </c>
    </row>
    <row r="5" ht="30.0" customHeight="1">
      <c r="B5" s="25" t="s">
        <v>105</v>
      </c>
      <c r="C5" s="26" t="s">
        <v>106</v>
      </c>
    </row>
    <row r="6" ht="30.0" customHeight="1">
      <c r="B6" s="25" t="s">
        <v>107</v>
      </c>
      <c r="C6" s="26" t="s">
        <v>108</v>
      </c>
    </row>
    <row r="7" ht="30.0" customHeight="1">
      <c r="B7" s="25" t="s">
        <v>109</v>
      </c>
      <c r="C7" s="26" t="s">
        <v>110</v>
      </c>
    </row>
    <row r="8" ht="30.0" customHeight="1">
      <c r="B8" s="25" t="s">
        <v>111</v>
      </c>
      <c r="C8" s="26" t="s">
        <v>112</v>
      </c>
    </row>
    <row r="9" ht="30.0" customHeight="1">
      <c r="B9" s="25" t="s">
        <v>113</v>
      </c>
      <c r="C9" s="26" t="s">
        <v>114</v>
      </c>
    </row>
    <row r="10" ht="30.0" customHeight="1">
      <c r="B10" s="25" t="s">
        <v>115</v>
      </c>
      <c r="C10" s="26" t="s">
        <v>116</v>
      </c>
    </row>
    <row r="11" ht="30.0" customHeight="1">
      <c r="B11" s="25" t="s">
        <v>98</v>
      </c>
      <c r="C11" s="26" t="s">
        <v>117</v>
      </c>
    </row>
    <row r="12" ht="30.0" customHeight="1">
      <c r="B12" s="25" t="s">
        <v>118</v>
      </c>
      <c r="C12" s="26" t="s">
        <v>119</v>
      </c>
    </row>
    <row r="13" ht="30.0" customHeight="1">
      <c r="B13" s="25" t="s">
        <v>120</v>
      </c>
      <c r="C13" s="26" t="s">
        <v>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31.5"/>
    <col customWidth="1" min="3" max="3" width="14.0"/>
    <col customWidth="1" min="4" max="4" width="12.25"/>
    <col customWidth="1" min="5" max="5" width="10.5"/>
    <col customWidth="1" min="6" max="6" width="8.75"/>
    <col customWidth="1" min="7" max="7" width="12.25"/>
    <col customWidth="1" min="8" max="8" width="14.88"/>
    <col customWidth="1" min="9" max="26" width="7.63"/>
  </cols>
  <sheetData>
    <row r="2">
      <c r="B2" s="1" t="s">
        <v>0</v>
      </c>
    </row>
    <row r="4">
      <c r="B4" s="3" t="s">
        <v>7</v>
      </c>
      <c r="C4" s="3" t="s">
        <v>10</v>
      </c>
      <c r="D4" s="3" t="s">
        <v>123</v>
      </c>
      <c r="E4" s="3" t="s">
        <v>13</v>
      </c>
      <c r="F4" s="3" t="s">
        <v>18</v>
      </c>
      <c r="G4" s="3" t="s">
        <v>20</v>
      </c>
      <c r="H4" s="3" t="s">
        <v>22</v>
      </c>
    </row>
    <row r="5">
      <c r="B5" s="5" t="s">
        <v>27</v>
      </c>
      <c r="C5" s="9">
        <f>'Semester 1 Credit Acceptance  2'!F7</f>
        <v>5</v>
      </c>
      <c r="D5" s="9">
        <f>C5*'Semester 1 Credit Acceptance  2'!$F$15</f>
        <v>180</v>
      </c>
      <c r="E5" s="9">
        <f>'Semester 1 Credit Acceptance  2'!E58</f>
        <v>146.5</v>
      </c>
      <c r="F5" s="9">
        <f t="shared" ref="F5:F10" si="1">D5-E5</f>
        <v>33.5</v>
      </c>
      <c r="G5" s="10">
        <f t="shared" ref="G5:G11" si="2">E5/D5</f>
        <v>0.8138888889</v>
      </c>
      <c r="H5" s="10">
        <f t="shared" ref="H5:H10" si="3">F5/$F$11</f>
        <v>0.4718309859</v>
      </c>
    </row>
    <row r="6">
      <c r="B6" s="5" t="s">
        <v>31</v>
      </c>
      <c r="C6" s="9">
        <f>'Semester 1 Credit Acceptance  2'!F8</f>
        <v>5</v>
      </c>
      <c r="D6" s="9">
        <f>C6*'Semester 1 Credit Acceptance  2'!$F$15</f>
        <v>180</v>
      </c>
      <c r="E6" s="9">
        <f>'Semester 1 Credit Acceptance  2'!F58</f>
        <v>169.5</v>
      </c>
      <c r="F6" s="9">
        <f t="shared" si="1"/>
        <v>10.5</v>
      </c>
      <c r="G6" s="10">
        <f t="shared" si="2"/>
        <v>0.9416666667</v>
      </c>
      <c r="H6" s="10">
        <f t="shared" si="3"/>
        <v>0.1478873239</v>
      </c>
    </row>
    <row r="7">
      <c r="B7" s="5" t="s">
        <v>33</v>
      </c>
      <c r="C7" s="9">
        <f>'Semester 1 Credit Acceptance  2'!F9</f>
        <v>3</v>
      </c>
      <c r="D7" s="9">
        <f>C7*'Semester 1 Credit Acceptance  2'!$F$15</f>
        <v>108</v>
      </c>
      <c r="E7" s="9">
        <f>'Semester 1 Credit Acceptance  2'!G58</f>
        <v>107</v>
      </c>
      <c r="F7" s="9">
        <f t="shared" si="1"/>
        <v>1</v>
      </c>
      <c r="G7" s="10">
        <f t="shared" si="2"/>
        <v>0.9907407407</v>
      </c>
      <c r="H7" s="10">
        <f t="shared" si="3"/>
        <v>0.01408450704</v>
      </c>
    </row>
    <row r="8">
      <c r="B8" s="5" t="s">
        <v>37</v>
      </c>
      <c r="C8" s="9">
        <f>'Semester 1 Credit Acceptance  2'!F10</f>
        <v>2</v>
      </c>
      <c r="D8" s="9">
        <f>C8*'Semester 1 Credit Acceptance  2'!$F$15</f>
        <v>72</v>
      </c>
      <c r="E8" s="9">
        <f>'Semester 1 Credit Acceptance  2'!H58</f>
        <v>71</v>
      </c>
      <c r="F8" s="9">
        <f t="shared" si="1"/>
        <v>1</v>
      </c>
      <c r="G8" s="10">
        <f t="shared" si="2"/>
        <v>0.9861111111</v>
      </c>
      <c r="H8" s="10">
        <f t="shared" si="3"/>
        <v>0.01408450704</v>
      </c>
    </row>
    <row r="9">
      <c r="B9" s="5" t="s">
        <v>41</v>
      </c>
      <c r="C9" s="9">
        <f>'Semester 1 Credit Acceptance  2'!F11</f>
        <v>3</v>
      </c>
      <c r="D9" s="9">
        <f>C9*'Semester 1 Credit Acceptance  2'!$F$15</f>
        <v>108</v>
      </c>
      <c r="E9" s="9">
        <f>'Semester 1 Credit Acceptance  2'!I58</f>
        <v>92</v>
      </c>
      <c r="F9" s="9">
        <f t="shared" si="1"/>
        <v>16</v>
      </c>
      <c r="G9" s="10">
        <f t="shared" si="2"/>
        <v>0.8518518519</v>
      </c>
      <c r="H9" s="10">
        <f t="shared" si="3"/>
        <v>0.2253521127</v>
      </c>
    </row>
    <row r="10">
      <c r="B10" s="5" t="s">
        <v>42</v>
      </c>
      <c r="C10" s="9">
        <f>'Semester 1 Credit Acceptance  2'!F12</f>
        <v>2</v>
      </c>
      <c r="D10" s="9">
        <f>C10*'Semester 1 Credit Acceptance  2'!$F$15</f>
        <v>72</v>
      </c>
      <c r="E10" s="9">
        <f>'Semester 1 Credit Acceptance  2'!J58</f>
        <v>63</v>
      </c>
      <c r="F10" s="9">
        <f t="shared" si="1"/>
        <v>9</v>
      </c>
      <c r="G10" s="10">
        <f t="shared" si="2"/>
        <v>0.875</v>
      </c>
      <c r="H10" s="10">
        <f t="shared" si="3"/>
        <v>0.1267605634</v>
      </c>
    </row>
    <row r="11">
      <c r="B11" s="11" t="s">
        <v>86</v>
      </c>
      <c r="C11" s="12">
        <f t="shared" ref="C11:F11" si="4">SUM(C5:C10)</f>
        <v>20</v>
      </c>
      <c r="D11" s="12">
        <f t="shared" si="4"/>
        <v>720</v>
      </c>
      <c r="E11" s="12">
        <f t="shared" si="4"/>
        <v>649</v>
      </c>
      <c r="F11" s="12">
        <f t="shared" si="4"/>
        <v>71</v>
      </c>
      <c r="G11" s="22">
        <f t="shared" si="2"/>
        <v>0.9013888889</v>
      </c>
      <c r="H11" s="23">
        <v>1.0</v>
      </c>
    </row>
    <row r="13">
      <c r="B13" s="4" t="s">
        <v>91</v>
      </c>
    </row>
    <row r="14">
      <c r="B14" s="24" t="s">
        <v>157</v>
      </c>
    </row>
    <row r="15">
      <c r="B15" s="24" t="s">
        <v>158</v>
      </c>
    </row>
    <row r="16">
      <c r="B16" s="24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2.63"/>
    <col customWidth="1" min="2" max="2" width="28.0"/>
    <col customWidth="1" min="3" max="14" width="7.88"/>
    <col customWidth="1" min="15" max="15" width="50.75"/>
    <col customWidth="1" min="16" max="26" width="7.63"/>
  </cols>
  <sheetData>
    <row r="2">
      <c r="B2" s="1" t="s">
        <v>129</v>
      </c>
    </row>
    <row r="3">
      <c r="B3" s="27" t="s">
        <v>130</v>
      </c>
    </row>
    <row r="5">
      <c r="B5" s="3" t="s">
        <v>9</v>
      </c>
      <c r="C5" s="3" t="s">
        <v>132</v>
      </c>
      <c r="D5" s="3" t="s">
        <v>133</v>
      </c>
      <c r="E5" s="3" t="s">
        <v>134</v>
      </c>
      <c r="F5" s="3" t="s">
        <v>135</v>
      </c>
      <c r="G5" s="3" t="s">
        <v>136</v>
      </c>
      <c r="H5" s="3" t="s">
        <v>137</v>
      </c>
      <c r="I5" s="3" t="s">
        <v>138</v>
      </c>
      <c r="J5" s="3" t="s">
        <v>139</v>
      </c>
      <c r="K5" s="3" t="s">
        <v>140</v>
      </c>
      <c r="L5" s="3" t="s">
        <v>141</v>
      </c>
      <c r="M5" s="3" t="s">
        <v>142</v>
      </c>
      <c r="N5" s="3" t="s">
        <v>143</v>
      </c>
      <c r="O5" s="3" t="s">
        <v>144</v>
      </c>
    </row>
    <row r="6">
      <c r="B6" s="6" t="s">
        <v>74</v>
      </c>
      <c r="C6" s="29">
        <v>4.0</v>
      </c>
      <c r="D6" s="29">
        <v>4.0</v>
      </c>
      <c r="E6" s="29">
        <v>4.0</v>
      </c>
      <c r="F6" s="29">
        <v>4.0</v>
      </c>
      <c r="G6" s="29">
        <v>3.0</v>
      </c>
      <c r="H6" s="29">
        <v>3.0</v>
      </c>
      <c r="I6" s="29">
        <v>2.0</v>
      </c>
      <c r="J6" s="29">
        <v>2.0</v>
      </c>
      <c r="K6" s="30">
        <v>4.0</v>
      </c>
      <c r="L6" s="29">
        <v>3.0</v>
      </c>
      <c r="M6" s="30">
        <v>3.0</v>
      </c>
      <c r="N6" s="29">
        <v>2.0</v>
      </c>
      <c r="O6" s="31"/>
    </row>
    <row r="7">
      <c r="B7" s="6" t="s">
        <v>32</v>
      </c>
      <c r="C7" s="29">
        <v>5.0</v>
      </c>
      <c r="D7" s="29">
        <v>5.0</v>
      </c>
      <c r="E7" s="30">
        <v>6.0</v>
      </c>
      <c r="F7" s="29">
        <v>5.0</v>
      </c>
      <c r="G7" s="29">
        <v>3.0</v>
      </c>
      <c r="H7" s="29">
        <v>3.0</v>
      </c>
      <c r="I7" s="29">
        <v>2.0</v>
      </c>
      <c r="J7" s="29">
        <v>2.0</v>
      </c>
      <c r="K7" s="29">
        <v>2.0</v>
      </c>
      <c r="L7" s="29">
        <v>2.0</v>
      </c>
      <c r="M7" s="29">
        <v>0.0</v>
      </c>
      <c r="N7" s="29">
        <v>0.0</v>
      </c>
      <c r="O7" s="34" t="s">
        <v>151</v>
      </c>
    </row>
    <row r="8">
      <c r="B8" s="6" t="s">
        <v>35</v>
      </c>
      <c r="C8" s="29">
        <v>5.0</v>
      </c>
      <c r="D8" s="29">
        <v>5.0</v>
      </c>
      <c r="E8" s="29">
        <v>5.0</v>
      </c>
      <c r="F8" s="29">
        <v>5.0</v>
      </c>
      <c r="G8" s="29">
        <v>2.0</v>
      </c>
      <c r="H8" s="29">
        <v>2.0</v>
      </c>
      <c r="I8" s="29">
        <v>2.0</v>
      </c>
      <c r="J8" s="29">
        <v>2.0</v>
      </c>
      <c r="K8" s="29">
        <v>3.0</v>
      </c>
      <c r="L8" s="29">
        <v>3.0</v>
      </c>
      <c r="M8" s="29">
        <v>2.0</v>
      </c>
      <c r="N8" s="29">
        <v>2.0</v>
      </c>
      <c r="O8" s="34" t="s">
        <v>155</v>
      </c>
    </row>
    <row r="9">
      <c r="B9" s="6" t="s">
        <v>40</v>
      </c>
      <c r="C9" s="29">
        <v>5.0</v>
      </c>
      <c r="D9" s="29">
        <v>5.0</v>
      </c>
      <c r="E9" s="29">
        <v>5.0</v>
      </c>
      <c r="F9" s="29">
        <v>5.0</v>
      </c>
      <c r="G9" s="29">
        <v>3.0</v>
      </c>
      <c r="H9" s="29">
        <v>3.0</v>
      </c>
      <c r="I9" s="29">
        <v>2.0</v>
      </c>
      <c r="J9" s="29">
        <v>2.0</v>
      </c>
      <c r="K9" s="29">
        <v>3.0</v>
      </c>
      <c r="L9" s="29">
        <v>3.0</v>
      </c>
      <c r="M9" s="29">
        <v>2.0</v>
      </c>
      <c r="N9" s="29">
        <v>2.0</v>
      </c>
      <c r="O9" s="31"/>
    </row>
    <row r="10">
      <c r="B10" s="6" t="s">
        <v>43</v>
      </c>
      <c r="C10" s="29">
        <v>4.0</v>
      </c>
      <c r="D10" s="29">
        <v>4.0</v>
      </c>
      <c r="E10" s="29">
        <v>4.0</v>
      </c>
      <c r="F10" s="29">
        <v>4.0</v>
      </c>
      <c r="G10" s="30">
        <v>4.0</v>
      </c>
      <c r="H10" s="29">
        <v>3.0</v>
      </c>
      <c r="I10" s="29">
        <v>2.0</v>
      </c>
      <c r="J10" s="29">
        <v>2.0</v>
      </c>
      <c r="K10" s="29">
        <v>0.0</v>
      </c>
      <c r="L10" s="29">
        <v>0.0</v>
      </c>
      <c r="M10" s="29">
        <v>2.0</v>
      </c>
      <c r="N10" s="29">
        <v>2.0</v>
      </c>
      <c r="O10" s="34" t="s">
        <v>161</v>
      </c>
    </row>
    <row r="11">
      <c r="B11" s="6" t="s">
        <v>46</v>
      </c>
      <c r="C11" s="30">
        <v>6.0</v>
      </c>
      <c r="D11" s="29">
        <v>5.0</v>
      </c>
      <c r="E11" s="30">
        <v>6.0</v>
      </c>
      <c r="F11" s="29">
        <v>5.0</v>
      </c>
      <c r="G11" s="29">
        <v>3.0</v>
      </c>
      <c r="H11" s="29">
        <v>3.0</v>
      </c>
      <c r="I11" s="29">
        <v>2.0</v>
      </c>
      <c r="J11" s="29">
        <v>2.0</v>
      </c>
      <c r="K11" s="29">
        <v>2.0</v>
      </c>
      <c r="L11" s="29">
        <v>2.0</v>
      </c>
      <c r="M11" s="29">
        <v>2.0</v>
      </c>
      <c r="N11" s="29">
        <v>2.0</v>
      </c>
      <c r="O11" s="34" t="s">
        <v>155</v>
      </c>
    </row>
    <row r="12">
      <c r="B12" s="6" t="s">
        <v>48</v>
      </c>
      <c r="C12" s="29">
        <v>4.0</v>
      </c>
      <c r="D12" s="29">
        <v>4.0</v>
      </c>
      <c r="E12" s="30">
        <v>6.0</v>
      </c>
      <c r="F12" s="29">
        <v>5.0</v>
      </c>
      <c r="G12" s="29">
        <v>3.0</v>
      </c>
      <c r="H12" s="29">
        <v>3.0</v>
      </c>
      <c r="I12" s="29">
        <v>2.0</v>
      </c>
      <c r="J12" s="29">
        <v>2.0</v>
      </c>
      <c r="K12" s="29">
        <v>2.0</v>
      </c>
      <c r="L12" s="29">
        <v>2.0</v>
      </c>
      <c r="M12" s="29">
        <v>2.0</v>
      </c>
      <c r="N12" s="29">
        <v>2.0</v>
      </c>
      <c r="O12" s="34" t="s">
        <v>165</v>
      </c>
    </row>
    <row r="13">
      <c r="B13" s="6" t="s">
        <v>51</v>
      </c>
      <c r="C13" s="29">
        <v>4.0</v>
      </c>
      <c r="D13" s="29">
        <v>4.0</v>
      </c>
      <c r="E13" s="29">
        <v>4.0</v>
      </c>
      <c r="F13" s="29">
        <v>4.0</v>
      </c>
      <c r="G13" s="29">
        <v>3.0</v>
      </c>
      <c r="H13" s="29">
        <v>3.0</v>
      </c>
      <c r="I13" s="29">
        <v>2.0</v>
      </c>
      <c r="J13" s="29">
        <v>2.0</v>
      </c>
      <c r="K13" s="29">
        <v>3.0</v>
      </c>
      <c r="L13" s="29">
        <v>3.0</v>
      </c>
      <c r="M13" s="29">
        <v>2.0</v>
      </c>
      <c r="N13" s="29">
        <v>2.0</v>
      </c>
      <c r="O13" s="31"/>
    </row>
    <row r="14">
      <c r="B14" s="6" t="s">
        <v>57</v>
      </c>
      <c r="C14" s="29">
        <v>4.0</v>
      </c>
      <c r="D14" s="29">
        <v>4.0</v>
      </c>
      <c r="E14" s="29">
        <v>4.0</v>
      </c>
      <c r="F14" s="29">
        <v>4.0</v>
      </c>
      <c r="G14" s="29">
        <v>3.0</v>
      </c>
      <c r="H14" s="29">
        <v>3.0</v>
      </c>
      <c r="I14" s="29">
        <v>2.0</v>
      </c>
      <c r="J14" s="29">
        <v>2.0</v>
      </c>
      <c r="K14" s="29">
        <v>2.0</v>
      </c>
      <c r="L14" s="29">
        <v>2.0</v>
      </c>
      <c r="M14" s="30">
        <v>4.0</v>
      </c>
      <c r="N14" s="29">
        <v>2.0</v>
      </c>
      <c r="O14" s="34" t="s">
        <v>167</v>
      </c>
    </row>
    <row r="15">
      <c r="B15" s="6" t="s">
        <v>63</v>
      </c>
      <c r="C15" s="29">
        <v>4.5</v>
      </c>
      <c r="D15" s="29">
        <v>4.5</v>
      </c>
      <c r="E15" s="29">
        <v>4.5</v>
      </c>
      <c r="F15" s="29">
        <v>4.5</v>
      </c>
      <c r="G15" s="29">
        <v>3.0</v>
      </c>
      <c r="H15" s="29">
        <v>3.0</v>
      </c>
      <c r="I15" s="29">
        <v>2.0</v>
      </c>
      <c r="J15" s="29">
        <v>2.0</v>
      </c>
      <c r="K15" s="29">
        <v>3.0</v>
      </c>
      <c r="L15" s="29">
        <v>3.0</v>
      </c>
      <c r="M15" s="29">
        <v>2.0</v>
      </c>
      <c r="N15" s="29">
        <v>2.0</v>
      </c>
      <c r="O15" s="34" t="s">
        <v>169</v>
      </c>
    </row>
    <row r="16">
      <c r="B16" s="6" t="s">
        <v>70</v>
      </c>
      <c r="C16" s="29">
        <v>4.0</v>
      </c>
      <c r="D16" s="29">
        <v>4.0</v>
      </c>
      <c r="E16" s="29">
        <v>4.0</v>
      </c>
      <c r="F16" s="29">
        <v>4.0</v>
      </c>
      <c r="G16" s="29">
        <v>3.0</v>
      </c>
      <c r="H16" s="29">
        <v>3.0</v>
      </c>
      <c r="I16" s="30">
        <v>3.0</v>
      </c>
      <c r="J16" s="29">
        <v>2.0</v>
      </c>
      <c r="K16" s="29">
        <v>2.0</v>
      </c>
      <c r="L16" s="29">
        <v>2.0</v>
      </c>
      <c r="M16" s="29">
        <v>2.0</v>
      </c>
      <c r="N16" s="29">
        <v>2.0</v>
      </c>
      <c r="O16" s="34" t="s">
        <v>171</v>
      </c>
    </row>
    <row r="17">
      <c r="B17" s="6" t="s">
        <v>85</v>
      </c>
      <c r="C17" s="29">
        <v>4.0</v>
      </c>
      <c r="D17" s="29">
        <v>4.0</v>
      </c>
      <c r="E17" s="30">
        <v>6.0</v>
      </c>
      <c r="F17" s="29">
        <v>5.0</v>
      </c>
      <c r="G17" s="29">
        <v>3.0</v>
      </c>
      <c r="H17" s="29">
        <v>3.0</v>
      </c>
      <c r="I17" s="29">
        <v>2.0</v>
      </c>
      <c r="J17" s="29">
        <v>2.0</v>
      </c>
      <c r="K17" s="29">
        <v>3.0</v>
      </c>
      <c r="L17" s="29">
        <v>3.0</v>
      </c>
      <c r="M17" s="29">
        <v>2.0</v>
      </c>
      <c r="N17" s="29">
        <v>2.0</v>
      </c>
      <c r="O17" s="31"/>
    </row>
    <row r="18">
      <c r="B18" s="6" t="s">
        <v>87</v>
      </c>
      <c r="C18" s="29">
        <v>4.0</v>
      </c>
      <c r="D18" s="29">
        <v>4.0</v>
      </c>
      <c r="E18" s="29">
        <v>4.0</v>
      </c>
      <c r="F18" s="29">
        <v>4.0</v>
      </c>
      <c r="G18" s="30">
        <v>4.0</v>
      </c>
      <c r="H18" s="29">
        <v>3.0</v>
      </c>
      <c r="I18" s="29">
        <v>2.0</v>
      </c>
      <c r="J18" s="29">
        <v>2.0</v>
      </c>
      <c r="K18" s="29">
        <v>0.0</v>
      </c>
      <c r="L18" s="29">
        <v>0.0</v>
      </c>
      <c r="M18" s="29">
        <v>0.0</v>
      </c>
      <c r="N18" s="29">
        <v>0.0</v>
      </c>
      <c r="O18" s="34" t="s">
        <v>192</v>
      </c>
    </row>
    <row r="19">
      <c r="B19" s="6" t="s">
        <v>92</v>
      </c>
      <c r="C19" s="29">
        <v>4.0</v>
      </c>
      <c r="D19" s="29">
        <v>4.0</v>
      </c>
      <c r="E19" s="29">
        <v>4.0</v>
      </c>
      <c r="F19" s="29">
        <v>4.0</v>
      </c>
      <c r="G19" s="30">
        <v>4.0</v>
      </c>
      <c r="H19" s="29">
        <v>3.0</v>
      </c>
      <c r="I19" s="30">
        <v>3.0</v>
      </c>
      <c r="J19" s="29">
        <v>2.0</v>
      </c>
      <c r="K19" s="29">
        <v>3.0</v>
      </c>
      <c r="L19" s="29">
        <v>3.0</v>
      </c>
      <c r="M19" s="30">
        <v>3.0</v>
      </c>
      <c r="N19" s="29">
        <v>2.0</v>
      </c>
      <c r="O19" s="34" t="s">
        <v>194</v>
      </c>
    </row>
    <row r="20">
      <c r="B20" s="6" t="s">
        <v>96</v>
      </c>
      <c r="C20" s="29">
        <v>4.0</v>
      </c>
      <c r="D20" s="29">
        <v>4.0</v>
      </c>
      <c r="E20" s="30">
        <v>6.0</v>
      </c>
      <c r="F20" s="29">
        <v>5.0</v>
      </c>
      <c r="G20" s="29">
        <v>3.0</v>
      </c>
      <c r="H20" s="29">
        <v>3.0</v>
      </c>
      <c r="I20" s="29">
        <v>2.0</v>
      </c>
      <c r="J20" s="29">
        <v>2.0</v>
      </c>
      <c r="K20" s="29">
        <v>3.0</v>
      </c>
      <c r="L20" s="29">
        <v>3.0</v>
      </c>
      <c r="M20" s="29">
        <v>2.0</v>
      </c>
      <c r="N20" s="29">
        <v>2.0</v>
      </c>
      <c r="O20" s="31"/>
    </row>
    <row r="21" ht="15.75" customHeight="1">
      <c r="B21" s="6" t="s">
        <v>98</v>
      </c>
      <c r="C21" s="30">
        <v>8.0</v>
      </c>
      <c r="D21" s="29">
        <v>5.0</v>
      </c>
      <c r="E21" s="30">
        <v>8.0</v>
      </c>
      <c r="F21" s="29">
        <v>5.0</v>
      </c>
      <c r="G21" s="30">
        <v>8.0</v>
      </c>
      <c r="H21" s="29">
        <v>3.0</v>
      </c>
      <c r="I21" s="29">
        <v>1.0</v>
      </c>
      <c r="J21" s="29">
        <v>1.0</v>
      </c>
      <c r="K21" s="29">
        <v>0.0</v>
      </c>
      <c r="L21" s="29">
        <v>0.0</v>
      </c>
      <c r="M21" s="29">
        <v>0.0</v>
      </c>
      <c r="N21" s="29">
        <v>0.0</v>
      </c>
      <c r="O21" s="34" t="s">
        <v>195</v>
      </c>
    </row>
    <row r="22" ht="15.75" customHeight="1">
      <c r="B22" s="6" t="s">
        <v>124</v>
      </c>
      <c r="C22" s="29">
        <v>4.0</v>
      </c>
      <c r="D22" s="29">
        <v>4.0</v>
      </c>
      <c r="E22" s="30">
        <v>6.0</v>
      </c>
      <c r="F22" s="29">
        <v>5.0</v>
      </c>
      <c r="G22" s="29">
        <v>3.0</v>
      </c>
      <c r="H22" s="29">
        <v>3.0</v>
      </c>
      <c r="I22" s="29">
        <v>2.0</v>
      </c>
      <c r="J22" s="29">
        <v>2.0</v>
      </c>
      <c r="K22" s="29">
        <v>3.0</v>
      </c>
      <c r="L22" s="29">
        <v>3.0</v>
      </c>
      <c r="M22" s="30">
        <v>3.0</v>
      </c>
      <c r="N22" s="29">
        <v>2.0</v>
      </c>
      <c r="O22" s="31"/>
    </row>
    <row r="23" ht="15.75" customHeight="1">
      <c r="B23" s="6" t="s">
        <v>125</v>
      </c>
      <c r="C23" s="29">
        <v>4.0</v>
      </c>
      <c r="D23" s="29">
        <v>4.0</v>
      </c>
      <c r="E23" s="30">
        <v>6.0</v>
      </c>
      <c r="F23" s="29">
        <v>5.0</v>
      </c>
      <c r="G23" s="29">
        <v>3.0</v>
      </c>
      <c r="H23" s="29">
        <v>3.0</v>
      </c>
      <c r="I23" s="29">
        <v>2.0</v>
      </c>
      <c r="J23" s="29">
        <v>2.0</v>
      </c>
      <c r="K23" s="29">
        <v>3.0</v>
      </c>
      <c r="L23" s="29">
        <v>3.0</v>
      </c>
      <c r="M23" s="29">
        <v>2.0</v>
      </c>
      <c r="N23" s="29">
        <v>2.0</v>
      </c>
      <c r="O23" s="31"/>
    </row>
    <row r="24" ht="15.75" customHeight="1">
      <c r="B24" s="6" t="s">
        <v>126</v>
      </c>
      <c r="C24" s="29">
        <v>4.0</v>
      </c>
      <c r="D24" s="29">
        <v>4.0</v>
      </c>
      <c r="E24" s="30">
        <v>6.0</v>
      </c>
      <c r="F24" s="29">
        <v>5.0</v>
      </c>
      <c r="G24" s="29">
        <v>3.0</v>
      </c>
      <c r="H24" s="29">
        <v>3.0</v>
      </c>
      <c r="I24" s="29">
        <v>2.0</v>
      </c>
      <c r="J24" s="29">
        <v>2.0</v>
      </c>
      <c r="K24" s="29">
        <v>3.0</v>
      </c>
      <c r="L24" s="29">
        <v>3.0</v>
      </c>
      <c r="M24" s="29">
        <v>2.0</v>
      </c>
      <c r="N24" s="29">
        <v>2.0</v>
      </c>
      <c r="O24" s="31"/>
    </row>
    <row r="25" ht="15.75" customHeight="1">
      <c r="B25" s="6" t="s">
        <v>127</v>
      </c>
      <c r="C25" s="29">
        <v>3.0</v>
      </c>
      <c r="D25" s="29">
        <v>3.0</v>
      </c>
      <c r="E25" s="29">
        <v>5.0</v>
      </c>
      <c r="F25" s="29">
        <v>5.0</v>
      </c>
      <c r="G25" s="30">
        <v>4.0</v>
      </c>
      <c r="H25" s="29">
        <v>3.0</v>
      </c>
      <c r="I25" s="30">
        <v>3.0</v>
      </c>
      <c r="J25" s="29">
        <v>2.0</v>
      </c>
      <c r="K25" s="29">
        <v>3.0</v>
      </c>
      <c r="L25" s="29">
        <v>3.0</v>
      </c>
      <c r="M25" s="29">
        <v>2.0</v>
      </c>
      <c r="N25" s="29">
        <v>2.0</v>
      </c>
      <c r="O25" s="31"/>
    </row>
    <row r="26" ht="15.75" customHeight="1">
      <c r="B26" s="6" t="s">
        <v>128</v>
      </c>
      <c r="C26" s="29">
        <v>4.0</v>
      </c>
      <c r="D26" s="29">
        <v>4.0</v>
      </c>
      <c r="E26" s="30">
        <v>6.0</v>
      </c>
      <c r="F26" s="29">
        <v>5.0</v>
      </c>
      <c r="G26" s="29">
        <v>3.0</v>
      </c>
      <c r="H26" s="29">
        <v>3.0</v>
      </c>
      <c r="I26" s="29">
        <v>2.0</v>
      </c>
      <c r="J26" s="29">
        <v>2.0</v>
      </c>
      <c r="K26" s="29">
        <v>3.0</v>
      </c>
      <c r="L26" s="29">
        <v>3.0</v>
      </c>
      <c r="M26" s="29">
        <v>2.0</v>
      </c>
      <c r="N26" s="29">
        <v>2.0</v>
      </c>
      <c r="O26" s="31"/>
    </row>
    <row r="27" ht="15.75" customHeight="1">
      <c r="B27" s="6" t="s">
        <v>131</v>
      </c>
      <c r="C27" s="29">
        <v>4.0</v>
      </c>
      <c r="D27" s="29">
        <v>4.0</v>
      </c>
      <c r="E27" s="30">
        <v>6.0</v>
      </c>
      <c r="F27" s="29">
        <v>5.0</v>
      </c>
      <c r="G27" s="29">
        <v>3.0</v>
      </c>
      <c r="H27" s="29">
        <v>3.0</v>
      </c>
      <c r="I27" s="29">
        <v>2.0</v>
      </c>
      <c r="J27" s="29">
        <v>2.0</v>
      </c>
      <c r="K27" s="29">
        <v>3.0</v>
      </c>
      <c r="L27" s="29">
        <v>3.0</v>
      </c>
      <c r="M27" s="29">
        <v>2.0</v>
      </c>
      <c r="N27" s="29">
        <v>2.0</v>
      </c>
      <c r="O27" s="31"/>
    </row>
    <row r="28" ht="15.75" customHeight="1">
      <c r="B28" s="6" t="s">
        <v>145</v>
      </c>
      <c r="C28" s="29">
        <v>4.0</v>
      </c>
      <c r="D28" s="29">
        <v>4.0</v>
      </c>
      <c r="E28" s="30">
        <v>6.0</v>
      </c>
      <c r="F28" s="29">
        <v>5.0</v>
      </c>
      <c r="G28" s="29">
        <v>3.0</v>
      </c>
      <c r="H28" s="29">
        <v>3.0</v>
      </c>
      <c r="I28" s="29">
        <v>2.0</v>
      </c>
      <c r="J28" s="29">
        <v>2.0</v>
      </c>
      <c r="K28" s="30">
        <v>5.0</v>
      </c>
      <c r="L28" s="29">
        <v>3.0</v>
      </c>
      <c r="M28" s="29">
        <v>0.0</v>
      </c>
      <c r="N28" s="29">
        <v>0.0</v>
      </c>
      <c r="O28" s="34" t="s">
        <v>196</v>
      </c>
    </row>
    <row r="29" ht="15.75" customHeight="1">
      <c r="B29" s="6" t="s">
        <v>146</v>
      </c>
      <c r="C29" s="29">
        <v>4.0</v>
      </c>
      <c r="D29" s="29">
        <v>4.0</v>
      </c>
      <c r="E29" s="30">
        <v>6.0</v>
      </c>
      <c r="F29" s="29">
        <v>5.0</v>
      </c>
      <c r="G29" s="29">
        <v>3.0</v>
      </c>
      <c r="H29" s="29">
        <v>3.0</v>
      </c>
      <c r="I29" s="29">
        <v>2.0</v>
      </c>
      <c r="J29" s="29">
        <v>2.0</v>
      </c>
      <c r="K29" s="29">
        <v>3.0</v>
      </c>
      <c r="L29" s="29">
        <v>3.0</v>
      </c>
      <c r="M29" s="29">
        <v>2.0</v>
      </c>
      <c r="N29" s="29">
        <v>2.0</v>
      </c>
      <c r="O29" s="31"/>
    </row>
    <row r="30" ht="15.75" customHeight="1">
      <c r="B30" s="6" t="s">
        <v>147</v>
      </c>
      <c r="C30" s="29">
        <v>3.0</v>
      </c>
      <c r="D30" s="29">
        <v>3.0</v>
      </c>
      <c r="E30" s="29">
        <v>4.0</v>
      </c>
      <c r="F30" s="29">
        <v>4.0</v>
      </c>
      <c r="G30" s="30">
        <v>4.0</v>
      </c>
      <c r="H30" s="29">
        <v>3.0</v>
      </c>
      <c r="I30" s="29">
        <v>2.0</v>
      </c>
      <c r="J30" s="29">
        <v>2.0</v>
      </c>
      <c r="K30" s="30">
        <v>4.0</v>
      </c>
      <c r="L30" s="29">
        <v>3.0</v>
      </c>
      <c r="M30" s="30">
        <v>3.0</v>
      </c>
      <c r="N30" s="29">
        <v>2.0</v>
      </c>
      <c r="O30" s="31"/>
    </row>
    <row r="31" ht="15.75" customHeight="1">
      <c r="B31" s="6" t="s">
        <v>153</v>
      </c>
      <c r="C31" s="29">
        <v>4.0</v>
      </c>
      <c r="D31" s="29">
        <v>4.0</v>
      </c>
      <c r="E31" s="29">
        <v>4.0</v>
      </c>
      <c r="F31" s="29">
        <v>4.0</v>
      </c>
      <c r="G31" s="30">
        <v>4.0</v>
      </c>
      <c r="H31" s="29">
        <v>3.0</v>
      </c>
      <c r="I31" s="29">
        <v>2.0</v>
      </c>
      <c r="J31" s="29">
        <v>2.0</v>
      </c>
      <c r="K31" s="29">
        <v>3.0</v>
      </c>
      <c r="L31" s="29">
        <v>3.0</v>
      </c>
      <c r="M31" s="29">
        <v>2.0</v>
      </c>
      <c r="N31" s="29">
        <v>2.0</v>
      </c>
      <c r="O31" s="31"/>
    </row>
    <row r="32" ht="15.75" customHeight="1">
      <c r="B32" s="6" t="s">
        <v>156</v>
      </c>
      <c r="C32" s="29">
        <v>3.0</v>
      </c>
      <c r="D32" s="29">
        <v>3.0</v>
      </c>
      <c r="E32" s="29">
        <v>5.0</v>
      </c>
      <c r="F32" s="29">
        <v>5.0</v>
      </c>
      <c r="G32" s="29">
        <v>3.0</v>
      </c>
      <c r="H32" s="29">
        <v>3.0</v>
      </c>
      <c r="I32" s="29">
        <v>2.0</v>
      </c>
      <c r="J32" s="29">
        <v>2.0</v>
      </c>
      <c r="K32" s="29">
        <v>3.0</v>
      </c>
      <c r="L32" s="29">
        <v>3.0</v>
      </c>
      <c r="M32" s="29">
        <v>2.0</v>
      </c>
      <c r="N32" s="29">
        <v>2.0</v>
      </c>
      <c r="O32" s="31"/>
    </row>
    <row r="33" ht="15.75" customHeight="1">
      <c r="B33" s="6" t="s">
        <v>160</v>
      </c>
      <c r="C33" s="29">
        <v>4.0</v>
      </c>
      <c r="D33" s="29">
        <v>4.0</v>
      </c>
      <c r="E33" s="30">
        <v>6.0</v>
      </c>
      <c r="F33" s="29">
        <v>5.0</v>
      </c>
      <c r="G33" s="30">
        <v>4.0</v>
      </c>
      <c r="H33" s="29">
        <v>3.0</v>
      </c>
      <c r="I33" s="30">
        <v>3.0</v>
      </c>
      <c r="J33" s="29">
        <v>2.0</v>
      </c>
      <c r="K33" s="29">
        <v>2.0</v>
      </c>
      <c r="L33" s="29">
        <v>2.0</v>
      </c>
      <c r="M33" s="30">
        <v>3.0</v>
      </c>
      <c r="N33" s="29">
        <v>2.0</v>
      </c>
      <c r="O33" s="31"/>
    </row>
    <row r="34" ht="15.75" customHeight="1">
      <c r="B34" s="6" t="s">
        <v>162</v>
      </c>
      <c r="C34" s="29">
        <v>5.0</v>
      </c>
      <c r="D34" s="29">
        <v>5.0</v>
      </c>
      <c r="E34" s="29">
        <v>4.0</v>
      </c>
      <c r="F34" s="29">
        <v>4.0</v>
      </c>
      <c r="G34" s="29">
        <v>3.0</v>
      </c>
      <c r="H34" s="29">
        <v>3.0</v>
      </c>
      <c r="I34" s="29">
        <v>2.0</v>
      </c>
      <c r="J34" s="29">
        <v>2.0</v>
      </c>
      <c r="K34" s="29">
        <v>3.0</v>
      </c>
      <c r="L34" s="29">
        <v>3.0</v>
      </c>
      <c r="M34" s="30">
        <v>3.0</v>
      </c>
      <c r="N34" s="29">
        <v>2.0</v>
      </c>
      <c r="O34" s="34" t="s">
        <v>197</v>
      </c>
    </row>
    <row r="35" ht="15.75" customHeight="1">
      <c r="B35" s="6" t="s">
        <v>163</v>
      </c>
      <c r="C35" s="29">
        <v>4.0</v>
      </c>
      <c r="D35" s="29">
        <v>4.0</v>
      </c>
      <c r="E35" s="30">
        <v>6.0</v>
      </c>
      <c r="F35" s="29">
        <v>5.0</v>
      </c>
      <c r="G35" s="29">
        <v>3.0</v>
      </c>
      <c r="H35" s="29">
        <v>3.0</v>
      </c>
      <c r="I35" s="29">
        <v>2.0</v>
      </c>
      <c r="J35" s="29">
        <v>2.0</v>
      </c>
      <c r="K35" s="29">
        <v>3.0</v>
      </c>
      <c r="L35" s="29">
        <v>3.0</v>
      </c>
      <c r="M35" s="29">
        <v>2.0</v>
      </c>
      <c r="N35" s="29">
        <v>2.0</v>
      </c>
      <c r="O35" s="31"/>
    </row>
    <row r="36" ht="15.75" customHeight="1">
      <c r="B36" s="6" t="s">
        <v>164</v>
      </c>
      <c r="C36" s="29">
        <v>4.0</v>
      </c>
      <c r="D36" s="29">
        <v>4.0</v>
      </c>
      <c r="E36" s="29">
        <v>5.0</v>
      </c>
      <c r="F36" s="29">
        <v>5.0</v>
      </c>
      <c r="G36" s="29">
        <v>3.0</v>
      </c>
      <c r="H36" s="29">
        <v>3.0</v>
      </c>
      <c r="I36" s="29">
        <v>2.0</v>
      </c>
      <c r="J36" s="29">
        <v>2.0</v>
      </c>
      <c r="K36" s="29">
        <v>3.0</v>
      </c>
      <c r="L36" s="29">
        <v>3.0</v>
      </c>
      <c r="M36" s="29">
        <v>2.0</v>
      </c>
      <c r="N36" s="29">
        <v>2.0</v>
      </c>
      <c r="O36" s="31"/>
    </row>
    <row r="37" ht="15.75" customHeight="1">
      <c r="B37" s="6" t="s">
        <v>166</v>
      </c>
      <c r="C37" s="29">
        <v>3.0</v>
      </c>
      <c r="D37" s="29">
        <v>3.0</v>
      </c>
      <c r="E37" s="29">
        <v>5.0</v>
      </c>
      <c r="F37" s="29">
        <v>5.0</v>
      </c>
      <c r="G37" s="29">
        <v>3.0</v>
      </c>
      <c r="H37" s="29">
        <v>3.0</v>
      </c>
      <c r="I37" s="30">
        <v>3.0</v>
      </c>
      <c r="J37" s="29">
        <v>2.0</v>
      </c>
      <c r="K37" s="29">
        <v>2.0</v>
      </c>
      <c r="L37" s="29">
        <v>2.0</v>
      </c>
      <c r="M37" s="29">
        <v>1.0</v>
      </c>
      <c r="N37" s="29">
        <v>1.0</v>
      </c>
      <c r="O37" s="34" t="s">
        <v>198</v>
      </c>
    </row>
    <row r="38" ht="15.75" customHeight="1">
      <c r="B38" s="6" t="s">
        <v>168</v>
      </c>
      <c r="C38" s="29">
        <v>4.0</v>
      </c>
      <c r="D38" s="29">
        <v>4.0</v>
      </c>
      <c r="E38" s="30">
        <v>6.0</v>
      </c>
      <c r="F38" s="29">
        <v>5.0</v>
      </c>
      <c r="G38" s="29">
        <v>3.0</v>
      </c>
      <c r="H38" s="29">
        <v>3.0</v>
      </c>
      <c r="I38" s="29">
        <v>2.0</v>
      </c>
      <c r="J38" s="29">
        <v>2.0</v>
      </c>
      <c r="K38" s="29">
        <v>3.0</v>
      </c>
      <c r="L38" s="29">
        <v>3.0</v>
      </c>
      <c r="M38" s="29">
        <v>2.0</v>
      </c>
      <c r="N38" s="29">
        <v>2.0</v>
      </c>
      <c r="O38" s="31"/>
    </row>
    <row r="39" ht="15.75" customHeight="1">
      <c r="B39" s="6" t="s">
        <v>170</v>
      </c>
      <c r="C39" s="29">
        <v>4.0</v>
      </c>
      <c r="D39" s="29">
        <v>4.0</v>
      </c>
      <c r="E39" s="30">
        <v>6.0</v>
      </c>
      <c r="F39" s="29">
        <v>5.0</v>
      </c>
      <c r="G39" s="29">
        <v>3.0</v>
      </c>
      <c r="H39" s="29">
        <v>3.0</v>
      </c>
      <c r="I39" s="29">
        <v>2.0</v>
      </c>
      <c r="J39" s="29">
        <v>2.0</v>
      </c>
      <c r="K39" s="29">
        <v>3.0</v>
      </c>
      <c r="L39" s="29">
        <v>3.0</v>
      </c>
      <c r="M39" s="29">
        <v>2.0</v>
      </c>
      <c r="N39" s="29">
        <v>2.0</v>
      </c>
      <c r="O39" s="34" t="s">
        <v>199</v>
      </c>
    </row>
    <row r="40" ht="15.75" customHeight="1">
      <c r="B40" s="6" t="s">
        <v>172</v>
      </c>
      <c r="C40" s="29">
        <v>4.0</v>
      </c>
      <c r="D40" s="29">
        <v>4.0</v>
      </c>
      <c r="E40" s="30">
        <v>6.0</v>
      </c>
      <c r="F40" s="29">
        <v>5.0</v>
      </c>
      <c r="G40" s="29">
        <v>3.0</v>
      </c>
      <c r="H40" s="29">
        <v>3.0</v>
      </c>
      <c r="I40" s="29">
        <v>2.0</v>
      </c>
      <c r="J40" s="29">
        <v>2.0</v>
      </c>
      <c r="K40" s="29">
        <v>3.0</v>
      </c>
      <c r="L40" s="29">
        <v>3.0</v>
      </c>
      <c r="M40" s="29">
        <v>2.0</v>
      </c>
      <c r="N40" s="29">
        <v>2.0</v>
      </c>
      <c r="O40" s="34" t="s">
        <v>199</v>
      </c>
    </row>
    <row r="41" ht="15.75" customHeight="1">
      <c r="B41" s="6" t="s">
        <v>174</v>
      </c>
      <c r="C41" s="29">
        <v>4.0</v>
      </c>
      <c r="D41" s="29">
        <v>4.0</v>
      </c>
      <c r="E41" s="30">
        <v>6.0</v>
      </c>
      <c r="F41" s="29">
        <v>5.0</v>
      </c>
      <c r="G41" s="29">
        <v>3.0</v>
      </c>
      <c r="H41" s="29">
        <v>3.0</v>
      </c>
      <c r="I41" s="29">
        <v>2.0</v>
      </c>
      <c r="J41" s="29">
        <v>2.0</v>
      </c>
      <c r="K41" s="29">
        <v>3.0</v>
      </c>
      <c r="L41" s="29">
        <v>3.0</v>
      </c>
      <c r="M41" s="29">
        <v>2.0</v>
      </c>
      <c r="N41" s="29">
        <v>2.0</v>
      </c>
      <c r="O41" s="34" t="s">
        <v>199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22.75"/>
    <col customWidth="1" min="3" max="3" width="91.88"/>
    <col customWidth="1" min="4" max="26" width="7.63"/>
  </cols>
  <sheetData>
    <row r="2">
      <c r="B2" s="1" t="s">
        <v>173</v>
      </c>
    </row>
    <row r="4" ht="42.0" customHeight="1">
      <c r="B4" s="38" t="s">
        <v>103</v>
      </c>
      <c r="C4" s="26" t="s">
        <v>175</v>
      </c>
    </row>
    <row r="5" ht="42.0" customHeight="1">
      <c r="B5" s="38" t="s">
        <v>105</v>
      </c>
      <c r="C5" s="26" t="s">
        <v>176</v>
      </c>
    </row>
    <row r="6" ht="42.0" customHeight="1">
      <c r="B6" s="38" t="s">
        <v>107</v>
      </c>
      <c r="C6" s="26" t="s">
        <v>177</v>
      </c>
    </row>
    <row r="7" ht="42.0" customHeight="1">
      <c r="B7" s="39" t="s">
        <v>178</v>
      </c>
      <c r="C7" s="40" t="s">
        <v>179</v>
      </c>
    </row>
    <row r="8" ht="42.0" customHeight="1">
      <c r="B8" s="39" t="s">
        <v>180</v>
      </c>
      <c r="C8" s="40" t="s">
        <v>181</v>
      </c>
    </row>
    <row r="9" ht="42.0" customHeight="1">
      <c r="B9" s="38" t="s">
        <v>109</v>
      </c>
      <c r="C9" s="26" t="s">
        <v>182</v>
      </c>
    </row>
    <row r="10" ht="42.0" customHeight="1">
      <c r="B10" s="38" t="s">
        <v>183</v>
      </c>
      <c r="C10" s="26" t="s">
        <v>184</v>
      </c>
    </row>
    <row r="11" ht="42.0" customHeight="1">
      <c r="B11" s="38" t="s">
        <v>113</v>
      </c>
      <c r="C11" s="26" t="s">
        <v>185</v>
      </c>
    </row>
    <row r="12" ht="42.0" customHeight="1">
      <c r="B12" s="38" t="s">
        <v>186</v>
      </c>
      <c r="C12" s="26" t="s">
        <v>187</v>
      </c>
    </row>
    <row r="13" ht="42.0" customHeight="1">
      <c r="B13" s="38" t="s">
        <v>188</v>
      </c>
      <c r="C13" s="26" t="s">
        <v>189</v>
      </c>
    </row>
    <row r="14" ht="42.0" customHeight="1">
      <c r="B14" s="38" t="s">
        <v>190</v>
      </c>
      <c r="C14" s="26" t="s">
        <v>191</v>
      </c>
    </row>
    <row r="15" ht="42.0" customHeight="1">
      <c r="B15" s="38" t="s">
        <v>120</v>
      </c>
      <c r="C15" s="26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